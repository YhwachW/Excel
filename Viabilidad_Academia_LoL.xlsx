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puestos" sheetId="1" state="visible" r:id="rId3"/>
    <sheet name="Inversion" sheetId="2" state="visible" r:id="rId4"/>
    <sheet name="Flujo de Caja" sheetId="3" state="visible" r:id="rId5"/>
    <sheet name="Indicadores" sheetId="4" state="visible" r:id="rId6"/>
    <sheet name="Valor Ganad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<sst xmlns="http://schemas.openxmlformats.org/spreadsheetml/2006/main" count="175" uniqueCount="165">
  <si>
    <t xml:space="preserve">Academia de League of Legends - Supuestos del modelo</t>
  </si>
  <si>
    <t xml:space="preserve">Celdas en azul con fondo amarillo = datos que puedes modificar. Todo lo demas se recalcula solo.</t>
  </si>
  <si>
    <t xml:space="preserve">Supuesto</t>
  </si>
  <si>
    <t xml:space="preserve">Valor</t>
  </si>
  <si>
    <t xml:space="preserve">Fuente / comentario</t>
  </si>
  <si>
    <t xml:space="preserve">Cobro mensual por alumno (USD)</t>
  </si>
  <si>
    <t xml:space="preserve">Dato del usuario</t>
  </si>
  <si>
    <t xml:space="preserve">Alumnos en el mes 1</t>
  </si>
  <si>
    <t xml:space="preserve">Supuesto: ajustar segun preventa / comunidad</t>
  </si>
  <si>
    <t xml:space="preserve">Crecimiento neto mensual de alumnos</t>
  </si>
  <si>
    <t xml:space="preserve">Supuesto: altas menos bajas (churn)</t>
  </si>
  <si>
    <t xml:space="preserve">Alumnos maximos por coach</t>
  </si>
  <si>
    <t xml:space="preserve">Supuesto: clases grupales + revision de VODs</t>
  </si>
  <si>
    <t xml:space="preserve">Numero de coaches</t>
  </si>
  <si>
    <t xml:space="preserve">Coaches que no cobran (CEO)</t>
  </si>
  <si>
    <t xml:space="preserve">Dato del usuario: el CEO da clases sin sueldo</t>
  </si>
  <si>
    <t xml:space="preserve">Sueldo por coach (USD por hora)</t>
  </si>
  <si>
    <t xml:space="preserve">Dato del usuario (20 USD). Se asume pago por hora</t>
  </si>
  <si>
    <t xml:space="preserve">Horas pagadas por coach al mes</t>
  </si>
  <si>
    <t xml:space="preserve">Supuesto: 5 h/semana. Si los 20 USD son un sueldo MENSUAL fijo, escribe 1</t>
  </si>
  <si>
    <t xml:space="preserve">Comision pasarela de pago (% del ingreso)</t>
  </si>
  <si>
    <t xml:space="preserve">Dato del usuario: pagos por transferencia bancaria, sin comision</t>
  </si>
  <si>
    <t xml:space="preserve">Plataforma y software mensual (USD)</t>
  </si>
  <si>
    <t xml:space="preserve">Supuesto: Discord Nitro, hosting web, herramientas VOD</t>
  </si>
  <si>
    <t xml:space="preserve">Marketing mensual (USD)</t>
  </si>
  <si>
    <t xml:space="preserve">Supuesto: anuncios en redes / creadores</t>
  </si>
  <si>
    <t xml:space="preserve">Otros gastos mensuales (USD)</t>
  </si>
  <si>
    <t xml:space="preserve">Supuesto: administracion, varios</t>
  </si>
  <si>
    <t xml:space="preserve">Tasa de impuesto sobre utilidad</t>
  </si>
  <si>
    <t xml:space="preserve">Supuesto: ajustar segun pais / regimen</t>
  </si>
  <si>
    <t xml:space="preserve">Tasa de descuento anual (costo de oportunidad)</t>
  </si>
  <si>
    <t xml:space="preserve">Supuesto: rentabilidad minima exigida</t>
  </si>
  <si>
    <t xml:space="preserve">Valores calculados</t>
  </si>
  <si>
    <t xml:space="preserve">Tasa de descuento mensual</t>
  </si>
  <si>
    <t xml:space="preserve">Equivalente mensual de la tasa anual</t>
  </si>
  <si>
    <t xml:space="preserve">Capacidad maxima de alumnos</t>
  </si>
  <si>
    <t xml:space="preserve">Coaches x alumnos por coach</t>
  </si>
  <si>
    <t xml:space="preserve">Costo mensual total de coaches (USD)</t>
  </si>
  <si>
    <t xml:space="preserve">(Coaches - no cobran) x sueldo x horas</t>
  </si>
  <si>
    <t xml:space="preserve">Costos fijos mensuales totales (USD)</t>
  </si>
  <si>
    <t xml:space="preserve">Coaches + plataforma + marketing + otros</t>
  </si>
  <si>
    <t xml:space="preserve">Margen por alumno despues de comision (USD)</t>
  </si>
  <si>
    <t xml:space="preserve">Precio - comision</t>
  </si>
  <si>
    <t xml:space="preserve">Inversion inicial (mes 0)</t>
  </si>
  <si>
    <t xml:space="preserve">Edita los montos en azul. Los imprevistos se calculan como % del subtotal.</t>
  </si>
  <si>
    <t xml:space="preserve">Concepto</t>
  </si>
  <si>
    <t xml:space="preserve">Monto (USD)</t>
  </si>
  <si>
    <t xml:space="preserve">Comentario</t>
  </si>
  <si>
    <t xml:space="preserve">Constitucion legal y tramites</t>
  </si>
  <si>
    <t xml:space="preserve">Pagina web / landing de inscripcion</t>
  </si>
  <si>
    <t xml:space="preserve">Branding (logo, overlays, redes)</t>
  </si>
  <si>
    <t xml:space="preserve">Equipo de streaming (microfono, camara)</t>
  </si>
  <si>
    <t xml:space="preserve">Licencias y herramientas iniciales</t>
  </si>
  <si>
    <t xml:space="preserve">Campana de marketing de lanzamiento</t>
  </si>
  <si>
    <t xml:space="preserve">Subtotal</t>
  </si>
  <si>
    <t xml:space="preserve">% imprevistos</t>
  </si>
  <si>
    <t xml:space="preserve">Supuesto: colchon para gastos no previstos</t>
  </si>
  <si>
    <t xml:space="preserve">Imprevistos</t>
  </si>
  <si>
    <t xml:space="preserve">INVERSION INICIAL TOTAL</t>
  </si>
  <si>
    <t xml:space="preserve">Flujo de caja proyectado - 6 meses (USD)</t>
  </si>
  <si>
    <t xml:space="preserve">Mes 0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</si>
  <si>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</si>
  <si>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</si>
  <si>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</si>
  <si>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</si>
  <si>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</si>
  <si>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</si>
  <si>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Alumnos activos</t>
  </si>
  <si>
    <t xml:space="preserve">Ingresos por mensualidades</t>
  </si>
  <si>
    <t xml:space="preserve">(-) Comision pasarela</t>
  </si>
  <si>
    <t xml:space="preserve">Ingresos netos</t>
  </si>
  <si>
    <t xml:space="preserve">(-) Sueldos coaches</t>
  </si>
  <si>
    <t xml:space="preserve">(-) Plataforma y software</t>
  </si>
  <si>
    <t xml:space="preserve">(-) Marketing</t>
  </si>
  <si>
    <t xml:space="preserve">(-) Otros gastos</t>
  </si>
  <si>
    <t xml:space="preserve">Total egresos operativos</t>
  </si>
  <si>
    <t xml:space="preserve">Utilidad operativa</t>
  </si>
  <si>
    <t xml:space="preserve">(-) Impuestos</t>
  </si>
  <si>
    <t xml:space="preserve">Flujo operativo neto</t>
  </si>
  <si>
    <t xml:space="preserve">(-) Inversion inicial</t>
  </si>
  <si>
    <t xml:space="preserve">FLUJO DE CAJA NETO</t>
  </si>
  <si>
    <t xml:space="preserve">Flujo de caja acumulado</t>
  </si>
  <si>
    <t xml:space="preserve">Mes 0 = puesta en marcha (solo inversion). Verde = vinculo a otra hoja.</t>
  </si>
  <si>
    <t xml:space="preserve">Indicadores de viabilidad economica</t>
  </si>
  <si>
    <t xml:space="preserve">Indicador</t>
  </si>
  <si>
    <t xml:space="preserve">Como se interpreta</t>
  </si>
  <si>
    <t xml:space="preserve">INVERSION</t>
  </si>
  <si>
    <t xml:space="preserve">Inversion inicial (equipos, web, lanzamiento)</t>
  </si>
  <si>
    <t xml:space="preserve">Dinero que se desembolsa en el mes 0</t>
  </si>
  <si>
    <t xml:space="preserve">Deficit operativo maximo (capital de trabajo)</t>
  </si>
  <si>
    <t xml:space="preserve">Perdidas de los primeros meses que tambien debes financiar</t>
  </si>
  <si>
    <t xml:space="preserve">INVERSION TOTAL REQUERIDA</t>
  </si>
  <si>
    <t xml:space="preserve">Maximo dinero negativo acumulado = lo que necesitas tener disponible</t>
  </si>
  <si>
    <t xml:space="preserve">RENTABILIDAD</t>
  </si>
  <si>
    <t xml:space="preserve">VAN / VPN (6 meses)</t>
  </si>
  <si>
    <t xml:space="preserve">&gt; 0: el proyecto crea valor sobre la tasa exigida</t>
  </si>
  <si>
    <t xml:space="preserve">TIR mensual</t>
  </si>
  <si>
    <t xml:space="preserve">Rentabilidad mensual del proyecto</t>
  </si>
  <si>
    <t xml:space="preserve">TIR anual equivalente</t>
  </si>
  <si>
    <t xml:space="preserve">Viable si es mayor que la tasa de descuento anual</t>
  </si>
  <si>
    <t xml:space="preserve">Tasa de descuento anual</t>
  </si>
  <si>
    <t xml:space="preserve">Rentabilidad minima exigida (Supuestos)</t>
  </si>
  <si>
    <t xml:space="preserve">Periodo de recuperacion (meses)</t>
  </si>
  <si>
    <t xml:space="preserve">Primer mes en que el flujo acumulado deja de ser negativo</t>
  </si>
  <si>
    <t xml:space="preserve">Utilidad acumulada a 6 meses</t>
  </si>
  <si>
    <t xml:space="preserve">Flujo acumulado al final del mes 6</t>
  </si>
  <si>
    <t xml:space="preserve">ROI a 6 meses</t>
  </si>
  <si>
    <t xml:space="preserve">Utilidad acumulada / inversion total requerida</t>
  </si>
  <si>
    <t xml:space="preserve">OPERACION</t>
  </si>
  <si>
    <t xml:space="preserve">Punto de equilibrio (alumnos/mes)</t>
  </si>
  <si>
    <t xml:space="preserve">Alumnos necesarios para cubrir todos los costos mensuales</t>
  </si>
  <si>
    <t xml:space="preserve">Capacidad maxima (alumnos)</t>
  </si>
  <si>
    <t xml:space="preserve">Si es menor al punto de equilibrio, el negocio NO es viable</t>
  </si>
  <si>
    <t xml:space="preserve">Punto de equilibrio en ventas (USD/mes)</t>
  </si>
  <si>
    <t xml:space="preserve">Ingreso mensual minimo</t>
  </si>
  <si>
    <t xml:space="preserve">Utilidad mensual a plena capacidad</t>
  </si>
  <si>
    <t xml:space="preserve">Resultado mensual con la academia llena</t>
  </si>
  <si>
    <t xml:space="preserve">Margen a plena capacidad</t>
  </si>
  <si>
    <t xml:space="preserve">Utilidad / ingresos</t>
  </si>
  <si>
    <t xml:space="preserve">CONCLUSION</t>
  </si>
  <si>
    <t xml:space="preserve">Dictamen</t>
  </si>
  <si>
    <t xml:space="preserve">Resultado automatico segun los supuestos</t>
  </si>
  <si>
    <t xml:space="preserve">Indicadores de Valor Ganado (EVM) - Plan de los primeros 6 meses</t>
  </si>
  <si>
    <t xml:space="preserve">Proyecto = inversion + operacion de los meses 1 a 6. Cada mes ingresa en amarillo el % de avance real del plan (columna C) y el costo real acumulado (columna D). Mientras no haya datos, el resumen muestra 'Sin datos'.</t>
  </si>
  <si>
    <t xml:space="preserve">BAC - Presupuesto total del proyecto (USD)</t>
  </si>
  <si>
    <t xml:space="preserve">Mes de corte (ultimo mes con datos)</t>
  </si>
  <si>
    <t xml:space="preserve">Mes</t>
  </si>
  <si>
    <t xml:space="preserve">% avance planificado</t>
  </si>
  <si>
    <t xml:space="preserve">% avance real (dato)</t>
  </si>
  <si>
    <t xml:space="preserve">AC - Costo real acumulado (dato)</t>
  </si>
  <si>
    <t xml:space="preserve">Egresos planificados del mes</t>
  </si>
  <si>
    <t xml:space="preserve">PV - Valor planificado acum.</t>
  </si>
  <si>
    <t xml:space="preserve">EV - Valor ganado</t>
  </si>
  <si>
    <t xml:space="preserve">CV = EV - AC</t>
  </si>
  <si>
    <t xml:space="preserve">SV = EV - PV</t>
  </si>
  <si>
    <t xml:space="preserve">CPI = EV / AC</t>
  </si>
  <si>
    <t xml:space="preserve">SPI = EV / PV</t>
  </si>
  <si>
    <t xml:space="preserve">EAC = BAC / CPI</t>
  </si>
  <si>
    <t xml:space="preserve">ETC = EAC - AC</t>
  </si>
  <si>
    <t xml:space="preserve">VAC = BAC - EAC</t>
  </si>
  <si>
    <t xml:space="preserve">TCPI</t>
  </si>
  <si>
    <t xml:space="preserve">Resumen al mes de corte</t>
  </si>
  <si>
    <t xml:space="preserve">PV - Valor planificado</t>
  </si>
  <si>
    <t xml:space="preserve">Lo que debias haber gastado/avanzado segun el plan</t>
  </si>
  <si>
    <t xml:space="preserve">Valor del trabajo realmente completado</t>
  </si>
  <si>
    <t xml:space="preserve">AC - Costo real</t>
  </si>
  <si>
    <t xml:space="preserve">Lo que realmente gastaste</t>
  </si>
  <si>
    <t xml:space="preserve">CV - Variacion de costo</t>
  </si>
  <si>
    <t xml:space="preserve">&gt; 0 ahorro; &lt; 0 sobrecosto</t>
  </si>
  <si>
    <t xml:space="preserve">SV - Variacion de cronograma</t>
  </si>
  <si>
    <t xml:space="preserve">&gt; 0 adelantado; &lt; 0 atrasado</t>
  </si>
  <si>
    <t xml:space="preserve">CPI - Indice de desempeno de costo</t>
  </si>
  <si>
    <t xml:space="preserve">&gt;= 1 eficiente en costos</t>
  </si>
  <si>
    <t xml:space="preserve">SPI - Indice de desempeno de cronograma</t>
  </si>
  <si>
    <t xml:space="preserve">&gt;= 1 dentro o adelantado al plan</t>
  </si>
  <si>
    <t xml:space="preserve">EAC - Estimacion al terminar</t>
  </si>
  <si>
    <t xml:space="preserve">Costo final esperado si sigue el CPI actual</t>
  </si>
  <si>
    <t xml:space="preserve">ETC - Estimacion para completar</t>
  </si>
  <si>
    <t xml:space="preserve">Lo que falta por gastar</t>
  </si>
  <si>
    <t xml:space="preserve">VAC - Variacion al terminar</t>
  </si>
  <si>
    <t xml:space="preserve">&gt; 0 terminara bajo presupuesto</t>
  </si>
  <si>
    <t xml:space="preserve">TCPI - Indice de desempeno por completar</t>
  </si>
  <si>
    <t xml:space="preserve">Eficiencia necesaria para cumplir el BAC</t>
  </si>
  <si>
    <t xml:space="preserve">Estado del costo</t>
  </si>
  <si>
    <t xml:space="preserve">Estado del cronograma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</si>
</sst>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\$#,##0;&quot;($&quot;#,##0\);\-"/>
    <numFmt numFmtId="169" formatCode="0.000%"/>
    <numFmt numFmtId="170" formatCode="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B6E4F"/>
        <bgColor rgb="FF008080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</a:rPr>
              <a:t>Flujo de caja acumulado (USD)</a:t>
            </a:r>
          </a:p>
        </c:rich>
      </c:tx>
      <c:layout>
        <c:manualLayout>
          <c:xMode val="edge"/>
          <c:yMode val="edge"/>
          <c:x val="0.22158987929097"/>
          <c:y val="0.0310077519379845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'Flujo de Caja'!$A$18</c:f>
              <c:strCache>
                <c:ptCount val="1"/>
                <c:pt idx="0">
                  <c:v>Flujo de caja acumulado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'Flujo de Caja'!$B$3:$H$3</c:f>
              <c:strCache>
                <c:ptCount val="7"/>
                <c:pt idx="0">
                  <c:v>Mes 0</c:v>
                </c:pt>
                <c:pt idx="1">
                  <c:v>Mes 1</c:v>
                </c:pt>
                <c:pt idx="2">
                  <c:v>Mes 2</c:v>
                </c:pt>
                <c:pt idx="3">
                  <c:v>Mes 3</c:v>
                </c:pt>
                <c:pt idx="4">
                  <c:v>Mes 4</c:v>
                </c:pt>
                <c:pt idx="5">
                  <c:v>Mes 5</c:v>
                </c:pt>
                <c:pt idx="6">
                  <c:v>Mes 6</c:v>
                </c:pt>
              </c:strCache>
            </c:strRef>
          </c:cat>
          <c:val>
            <c:numRef>
              <c:f>'Flujo de Caja'!$B$18:$H$18</c:f>
              <c:numCache>
                <c:formatCode>\$#,##0;"($"#,##0\);\-</c:formatCode>
                <c:ptCount val="7"/>
                <c:pt idx="0">
                  <c:v>-88</c:v>
                </c:pt>
                <c:pt idx="1">
                  <c:v>-40.55</c:v>
                </c:pt>
                <c:pt idx="2">
                  <c:v>6.90000000000001</c:v>
                </c:pt>
                <c:pt idx="3">
                  <c:v>54.35</c:v>
                </c:pt>
                <c:pt idx="4">
                  <c:v>101.8</c:v>
                </c:pt>
                <c:pt idx="5">
                  <c:v>149.25</c:v>
                </c:pt>
                <c:pt idx="6">
                  <c:v>196.7</c:v>
                </c:pt>
              </c:numCache>
            </c:numRef>
          </c:val>
        </c:ser>
        <c:gapWidth val="150"/>
        <c:overlap val="0"/>
        <c:axId val="65207347"/>
        <c:axId val="55858119"/>
      </c:barChart>
      <c:catAx>
        <c:axId val="652073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58119"/>
        <c:crosses val="autoZero"/>
        <c:auto val="1"/>
        <c:lblAlgn val="ctr"/>
        <c:lblOffset val="100"/>
        <c:noMultiLvlLbl val="0"/>
      </c:catAx>
      <c:valAx>
        <c:axId val="55858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073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1380960</xdr:colOff>
      <xdr:row>18</xdr:row>
      <xdr:rowOff>123840</xdr:rowOff>
    </xdr:from>
    <xdr:to>
      <xdr:col>11</xdr:col>
      <xdr:colOff>136080</xdr:colOff>
      <xdr:row>33</xdr:row>
      <xdr:rowOff>145440</xdr:rowOff>
    </xdr:to>
    <xdr:graphicFrame>
      <xdr:nvGraphicFramePr>
        <xdr:cNvPr id="0" name="Chart 1"/>
        <xdr:cNvGraphicFramePr/>
      </xdr:nvGraphicFramePr>
      <xdr:xfrm>
        <a:off x="1380960" y="3667320"/>
        <a:ext cx="993096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9" activeCellId="0" sqref="B9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24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15" hidden="false" customHeight="false" outlineLevel="0" collapsed="false">
      <c r="A4" s="4" t="s">
        <v>5</v>
      </c>
      <c r="B4" s="5" t="n">
        <v>15</v>
      </c>
      <c r="C4" s="2" t="s">
        <v>6</v>
      </c>
    </row>
    <row r="5" customFormat="false" ht="15" hidden="false" customHeight="false" outlineLevel="0" collapsed="false">
      <c r="A5" s="4" t="s">
        <v>7</v>
      </c>
      <c r="B5" s="6" t="n">
        <v>15</v>
      </c>
      <c r="C5" s="2" t="s">
        <v>8</v>
      </c>
    </row>
    <row r="6" customFormat="false" ht="15" hidden="false" customHeight="false" outlineLevel="0" collapsed="false">
      <c r="A6" s="4" t="s">
        <v>9</v>
      </c>
      <c r="B6" s="7" t="n">
        <v>0.15</v>
      </c>
      <c r="C6" s="2" t="s">
        <v>10</v>
      </c>
    </row>
    <row r="7" customFormat="false" ht="15" hidden="false" customHeight="false" outlineLevel="0" collapsed="false">
      <c r="A7" s="4" t="s">
        <v>11</v>
      </c>
      <c r="B7" s="6" t="n">
        <v>5</v>
      </c>
      <c r="C7" s="2" t="s">
        <v>12</v>
      </c>
    </row>
    <row r="8" customFormat="false" ht="15" hidden="false" customHeight="false" outlineLevel="0" collapsed="false">
      <c r="A8" s="4" t="s">
        <v>13</v>
      </c>
      <c r="B8" s="6" t="n">
        <v>3</v>
      </c>
      <c r="C8" s="2" t="s">
        <v>6</v>
      </c>
    </row>
    <row r="9" customFormat="false" ht="15" hidden="false" customHeight="false" outlineLevel="0" collapsed="false">
      <c r="A9" s="4" t="s">
        <v>14</v>
      </c>
      <c r="B9" s="6" t="n">
        <v>1</v>
      </c>
      <c r="C9" s="2" t="s">
        <v>15</v>
      </c>
    </row>
    <row r="10" customFormat="false" ht="15" hidden="false" customHeight="false" outlineLevel="0" collapsed="false">
      <c r="A10" s="4" t="s">
        <v>16</v>
      </c>
      <c r="B10" s="5" t="n">
        <v>20</v>
      </c>
      <c r="C10" s="2" t="s">
        <v>17</v>
      </c>
    </row>
    <row r="11" customFormat="false" ht="15" hidden="false" customHeight="false" outlineLevel="0" collapsed="false">
      <c r="A11" s="4" t="s">
        <v>18</v>
      </c>
      <c r="B11" s="6" t="n">
        <v>1</v>
      </c>
      <c r="C11" s="2" t="s">
        <v>19</v>
      </c>
    </row>
    <row r="12" customFormat="false" ht="15" hidden="false" customHeight="false" outlineLevel="0" collapsed="false">
      <c r="A12" s="4" t="s">
        <v>20</v>
      </c>
      <c r="B12" s="7" t="n">
        <v>0</v>
      </c>
      <c r="C12" s="2" t="s">
        <v>21</v>
      </c>
    </row>
    <row r="13" customFormat="false" ht="15" hidden="false" customHeight="false" outlineLevel="0" collapsed="false">
      <c r="A13" s="4" t="s">
        <v>22</v>
      </c>
      <c r="B13" s="8" t="n">
        <v>10</v>
      </c>
      <c r="C13" s="2" t="s">
        <v>23</v>
      </c>
    </row>
    <row r="14" customFormat="false" ht="15" hidden="false" customHeight="false" outlineLevel="0" collapsed="false">
      <c r="A14" s="4" t="s">
        <v>24</v>
      </c>
      <c r="B14" s="8" t="n">
        <v>80</v>
      </c>
      <c r="C14" s="2" t="s">
        <v>25</v>
      </c>
    </row>
    <row r="15" customFormat="false" ht="15" hidden="false" customHeight="false" outlineLevel="0" collapsed="false">
      <c r="A15" s="4" t="s">
        <v>26</v>
      </c>
      <c r="B15" s="8" t="n">
        <v>30</v>
      </c>
      <c r="C15" s="2" t="s">
        <v>27</v>
      </c>
    </row>
    <row r="16" customFormat="false" ht="15" hidden="false" customHeight="false" outlineLevel="0" collapsed="false">
      <c r="A16" s="4" t="s">
        <v>28</v>
      </c>
      <c r="B16" s="7" t="n">
        <v>0.27</v>
      </c>
      <c r="C16" s="2" t="s">
        <v>29</v>
      </c>
    </row>
    <row r="17" customFormat="false" ht="15" hidden="false" customHeight="false" outlineLevel="0" collapsed="false">
      <c r="A17" s="4" t="s">
        <v>30</v>
      </c>
      <c r="B17" s="7" t="n">
        <v>0.12</v>
      </c>
      <c r="C17" s="2" t="s">
        <v>31</v>
      </c>
    </row>
    <row r="19" customFormat="false" ht="15" hidden="false" customHeight="false" outlineLevel="0" collapsed="false">
      <c r="A19" s="9" t="s">
        <v>32</v>
      </c>
    </row>
    <row r="20" customFormat="false" ht="15" hidden="false" customHeight="false" outlineLevel="0" collapsed="false">
      <c r="A20" s="4" t="s">
        <v>33</v>
      </c>
      <c r="B20" s="10" t="n">
        <f aca="false">(1+B17)^(1/12)-1</f>
        <v>0.00948879293458305</v>
      </c>
      <c r="C20" s="2" t="s">
        <v>34</v>
      </c>
    </row>
    <row r="21" customFormat="false" ht="15" hidden="false" customHeight="false" outlineLevel="0" collapsed="false">
      <c r="A21" s="4" t="s">
        <v>35</v>
      </c>
      <c r="B21" s="11" t="n">
        <f aca="false">B7*B8</f>
        <v>15</v>
      </c>
      <c r="C21" s="2" t="s">
        <v>36</v>
      </c>
    </row>
    <row r="22" customFormat="false" ht="15" hidden="false" customHeight="false" outlineLevel="0" collapsed="false">
      <c r="A22" s="4" t="s">
        <v>37</v>
      </c>
      <c r="B22" s="12" t="n">
        <f aca="false">(B8-B9)*B10*B11</f>
        <v>40</v>
      </c>
      <c r="C22" s="2" t="s">
        <v>38</v>
      </c>
    </row>
    <row r="23" customFormat="false" ht="15" hidden="false" customHeight="false" outlineLevel="0" collapsed="false">
      <c r="A23" s="4" t="s">
        <v>39</v>
      </c>
      <c r="B23" s="12" t="n">
        <f aca="false">B22+B13+B14+B15</f>
        <v>160</v>
      </c>
      <c r="C23" s="2" t="s">
        <v>40</v>
      </c>
    </row>
    <row r="24" customFormat="false" ht="15" hidden="false" customHeight="false" outlineLevel="0" collapsed="false">
      <c r="A24" s="4" t="s">
        <v>41</v>
      </c>
      <c r="B24" s="13" t="n">
        <f aca="false">B4*(1-B12)</f>
        <v>15</v>
      </c>
      <c r="C24" s="2" t="s">
        <v>42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24" hidden="false" customHeight="true" outlineLevel="0" collapsed="false">
      <c r="A1" s="1" t="s">
        <v>43</v>
      </c>
      <c r="B1" s="1"/>
      <c r="C1" s="1"/>
    </row>
    <row r="2" customFormat="false" ht="15" hidden="false" customHeight="false" outlineLevel="0" collapsed="false">
      <c r="A2" s="2" t="s">
        <v>44</v>
      </c>
    </row>
    <row r="3" customFormat="false" ht="15" hidden="false" customHeight="false" outlineLevel="0" collapsed="false">
      <c r="A3" s="3" t="s">
        <v>45</v>
      </c>
      <c r="B3" s="3" t="s">
        <v>46</v>
      </c>
      <c r="C3" s="3" t="s">
        <v>47</v>
      </c>
    </row>
    <row r="4" customFormat="false" ht="15" hidden="false" customHeight="false" outlineLevel="0" collapsed="false">
      <c r="A4" s="4" t="s">
        <v>48</v>
      </c>
      <c r="B4" s="8" t="n">
        <v>0</v>
      </c>
      <c r="C4" s="2" t="s">
        <v>2</v>
      </c>
    </row>
    <row r="5" customFormat="false" ht="15" hidden="false" customHeight="false" outlineLevel="0" collapsed="false">
      <c r="A5" s="4" t="s">
        <v>49</v>
      </c>
      <c r="B5" s="8" t="n">
        <v>0</v>
      </c>
      <c r="C5" s="2" t="s">
        <v>2</v>
      </c>
    </row>
    <row r="6" customFormat="false" ht="15" hidden="false" customHeight="false" outlineLevel="0" collapsed="false">
      <c r="A6" s="4" t="s">
        <v>50</v>
      </c>
      <c r="B6" s="8" t="n">
        <v>50</v>
      </c>
      <c r="C6" s="2" t="s">
        <v>2</v>
      </c>
    </row>
    <row r="7" customFormat="false" ht="15" hidden="false" customHeight="false" outlineLevel="0" collapsed="false">
      <c r="A7" s="4" t="s">
        <v>51</v>
      </c>
      <c r="B7" s="8"/>
      <c r="C7" s="2" t="s">
        <v>2</v>
      </c>
    </row>
    <row r="8" customFormat="false" ht="15" hidden="false" customHeight="false" outlineLevel="0" collapsed="false">
      <c r="A8" s="4" t="s">
        <v>52</v>
      </c>
      <c r="B8" s="8" t="n">
        <v>0</v>
      </c>
      <c r="C8" s="2" t="s">
        <v>2</v>
      </c>
    </row>
    <row r="9" customFormat="false" ht="15" hidden="false" customHeight="false" outlineLevel="0" collapsed="false">
      <c r="A9" s="4" t="s">
        <v>53</v>
      </c>
      <c r="B9" s="8" t="n">
        <v>30</v>
      </c>
      <c r="C9" s="2" t="s">
        <v>2</v>
      </c>
    </row>
    <row r="10" customFormat="false" ht="15" hidden="false" customHeight="false" outlineLevel="0" collapsed="false">
      <c r="A10" s="14" t="s">
        <v>54</v>
      </c>
      <c r="B10" s="15" t="n">
        <f aca="false">SUM(B4:B9)</f>
        <v>80</v>
      </c>
    </row>
    <row r="11" customFormat="false" ht="15" hidden="false" customHeight="false" outlineLevel="0" collapsed="false">
      <c r="A11" s="16" t="s">
        <v>55</v>
      </c>
      <c r="B11" s="7" t="n">
        <v>0.1</v>
      </c>
      <c r="C11" s="2" t="s">
        <v>56</v>
      </c>
    </row>
    <row r="12" customFormat="false" ht="15" hidden="false" customHeight="false" outlineLevel="0" collapsed="false">
      <c r="A12" s="16" t="s">
        <v>57</v>
      </c>
      <c r="B12" s="12" t="n">
        <f aca="false">B10*B11</f>
        <v>8</v>
      </c>
    </row>
    <row r="13" customFormat="false" ht="15" hidden="false" customHeight="false" outlineLevel="0" collapsed="false">
      <c r="A13" s="14" t="s">
        <v>58</v>
      </c>
      <c r="B13" s="17" t="n">
        <f aca="false">B10+B12</f>
        <v>88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C37" activeCellId="0" sqref="C37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0"/>
  </cols>
  <sheetData>
    <row r="1" customFormat="false" ht="24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3" t="s">
        <v>45</v>
      </c>
      <c r="B3" s="3" t="s">
        <v>60</v>
      </c>
      <c r="C3" s="3" t="s">
        <v>61</v>
      </c>
      <c r="D3" s="3" t="s">
        <v>62</v>
      </c>
      <c r="E3" s="3" t="s">
        <v>63</v>
      </c>
      <c r="F3" s="3" t="s">
        <v>64</v>
      </c>
      <c r="G3" s="3" t="s">
        <v>65</v>
      </c>
      <c r="H3" s="3" t="s">
        <v>66</v>
      </c>
    </row>
    <row r="4" customFormat="false" ht="15" hidden="false" customHeight="false" outlineLevel="0" collapsed="false">
      <c r="A4" s="4" t="s">
        <v>67</v>
      </c>
      <c r="B4" s="11" t="n">
        <v>0</v>
      </c>
      <c r="C4" s="18" t="n">
        <f aca="false">MIN(Supuestos!$B$21,Supuestos!$B$5)</f>
        <v>15</v>
      </c>
      <c r="D4" s="18" t="n">
        <f aca="false">MIN(Supuestos!$B$21,ROUND(C4*(1+Supuestos!$B$6),0))</f>
        <v>15</v>
      </c>
      <c r="E4" s="18" t="n">
        <f aca="false">MIN(Supuestos!$B$21,ROUND(D4*(1+Supuestos!$B$6),0))</f>
        <v>15</v>
      </c>
      <c r="F4" s="18" t="n">
        <f aca="false">MIN(Supuestos!$B$21,ROUND(E4*(1+Supuestos!$B$6),0))</f>
        <v>15</v>
      </c>
      <c r="G4" s="18" t="n">
        <f aca="false">MIN(Supuestos!$B$21,ROUND(F4*(1+Supuestos!$B$6),0))</f>
        <v>15</v>
      </c>
      <c r="H4" s="18" t="n">
        <f aca="false">MIN(Supuestos!$B$21,ROUND(G4*(1+Supuestos!$B$6),0))</f>
        <v>15</v>
      </c>
    </row>
    <row r="5" customFormat="false" ht="15" hidden="false" customHeight="false" outlineLevel="0" collapsed="false">
      <c r="A5" s="4" t="s">
        <v>68</v>
      </c>
      <c r="B5" s="12" t="n">
        <v>0</v>
      </c>
      <c r="C5" s="19" t="n">
        <f aca="false">C4*Supuestos!$B$4</f>
        <v>225</v>
      </c>
      <c r="D5" s="19" t="n">
        <f aca="false">D4*Supuestos!$B$4</f>
        <v>225</v>
      </c>
      <c r="E5" s="19" t="n">
        <f aca="false">E4*Supuestos!$B$4</f>
        <v>225</v>
      </c>
      <c r="F5" s="19" t="n">
        <f aca="false">F4*Supuestos!$B$4</f>
        <v>225</v>
      </c>
      <c r="G5" s="19" t="n">
        <f aca="false">G4*Supuestos!$B$4</f>
        <v>225</v>
      </c>
      <c r="H5" s="19" t="n">
        <f aca="false">H4*Supuestos!$B$4</f>
        <v>225</v>
      </c>
    </row>
    <row r="6" customFormat="false" ht="15" hidden="false" customHeight="false" outlineLevel="0" collapsed="false">
      <c r="A6" s="4" t="s">
        <v>69</v>
      </c>
      <c r="B6" s="12" t="n">
        <v>0</v>
      </c>
      <c r="C6" s="19" t="n">
        <f aca="false">-C5*Supuestos!$B$12</f>
        <v>-0</v>
      </c>
      <c r="D6" s="19" t="n">
        <f aca="false">-D5*Supuestos!$B$12</f>
        <v>-0</v>
      </c>
      <c r="E6" s="19" t="n">
        <f aca="false">-E5*Supuestos!$B$12</f>
        <v>-0</v>
      </c>
      <c r="F6" s="19" t="n">
        <f aca="false">-F5*Supuestos!$B$12</f>
        <v>-0</v>
      </c>
      <c r="G6" s="19" t="n">
        <f aca="false">-G5*Supuestos!$B$12</f>
        <v>-0</v>
      </c>
      <c r="H6" s="19" t="n">
        <f aca="false">-H5*Supuestos!$B$12</f>
        <v>-0</v>
      </c>
    </row>
    <row r="7" customFormat="false" ht="15" hidden="false" customHeight="false" outlineLevel="0" collapsed="false">
      <c r="A7" s="20" t="s">
        <v>70</v>
      </c>
      <c r="B7" s="12" t="n">
        <v>0</v>
      </c>
      <c r="C7" s="12" t="n">
        <f aca="false">C5+C6</f>
        <v>225</v>
      </c>
      <c r="D7" s="12" t="n">
        <f aca="false">D5+D6</f>
        <v>225</v>
      </c>
      <c r="E7" s="12" t="n">
        <f aca="false">E5+E6</f>
        <v>225</v>
      </c>
      <c r="F7" s="12" t="n">
        <f aca="false">F5+F6</f>
        <v>225</v>
      </c>
      <c r="G7" s="12" t="n">
        <f aca="false">G5+G6</f>
        <v>225</v>
      </c>
      <c r="H7" s="12" t="n">
        <f aca="false">H5+H6</f>
        <v>225</v>
      </c>
    </row>
    <row r="8" customFormat="false" ht="15" hidden="false" customHeight="false" outlineLevel="0" collapsed="false">
      <c r="A8" s="4" t="s">
        <v>71</v>
      </c>
      <c r="B8" s="12" t="n">
        <v>0</v>
      </c>
      <c r="C8" s="19" t="n">
        <f aca="false">-Supuestos!$B$22</f>
        <v>-40</v>
      </c>
      <c r="D8" s="19" t="n">
        <f aca="false">-Supuestos!$B$22</f>
        <v>-40</v>
      </c>
      <c r="E8" s="19" t="n">
        <f aca="false">-Supuestos!$B$22</f>
        <v>-40</v>
      </c>
      <c r="F8" s="19" t="n">
        <f aca="false">-Supuestos!$B$22</f>
        <v>-40</v>
      </c>
      <c r="G8" s="19" t="n">
        <f aca="false">-Supuestos!$B$22</f>
        <v>-40</v>
      </c>
      <c r="H8" s="19" t="n">
        <f aca="false">-Supuestos!$B$22</f>
        <v>-40</v>
      </c>
    </row>
    <row r="9" customFormat="false" ht="15" hidden="false" customHeight="false" outlineLevel="0" collapsed="false">
      <c r="A9" s="4" t="s">
        <v>72</v>
      </c>
      <c r="B9" s="12" t="n">
        <v>0</v>
      </c>
      <c r="C9" s="19" t="n">
        <f aca="false">-Supuestos!$B$13</f>
        <v>-10</v>
      </c>
      <c r="D9" s="19" t="n">
        <f aca="false">-Supuestos!$B$13</f>
        <v>-10</v>
      </c>
      <c r="E9" s="19" t="n">
        <f aca="false">-Supuestos!$B$13</f>
        <v>-10</v>
      </c>
      <c r="F9" s="19" t="n">
        <f aca="false">-Supuestos!$B$13</f>
        <v>-10</v>
      </c>
      <c r="G9" s="19" t="n">
        <f aca="false">-Supuestos!$B$13</f>
        <v>-10</v>
      </c>
      <c r="H9" s="19" t="n">
        <f aca="false">-Supuestos!$B$13</f>
        <v>-10</v>
      </c>
    </row>
    <row r="10" customFormat="false" ht="15" hidden="false" customHeight="false" outlineLevel="0" collapsed="false">
      <c r="A10" s="4" t="s">
        <v>73</v>
      </c>
      <c r="B10" s="12" t="n">
        <v>0</v>
      </c>
      <c r="C10" s="19" t="n">
        <f aca="false">-Supuestos!$B$14</f>
        <v>-80</v>
      </c>
      <c r="D10" s="19" t="n">
        <f aca="false">-Supuestos!$B$14</f>
        <v>-80</v>
      </c>
      <c r="E10" s="19" t="n">
        <f aca="false">-Supuestos!$B$14</f>
        <v>-80</v>
      </c>
      <c r="F10" s="19" t="n">
        <f aca="false">-Supuestos!$B$14</f>
        <v>-80</v>
      </c>
      <c r="G10" s="19" t="n">
        <f aca="false">-Supuestos!$B$14</f>
        <v>-80</v>
      </c>
      <c r="H10" s="19" t="n">
        <f aca="false">-Supuestos!$B$14</f>
        <v>-80</v>
      </c>
    </row>
    <row r="11" customFormat="false" ht="15" hidden="false" customHeight="false" outlineLevel="0" collapsed="false">
      <c r="A11" s="4" t="s">
        <v>74</v>
      </c>
      <c r="B11" s="12" t="n">
        <v>0</v>
      </c>
      <c r="C11" s="19" t="n">
        <f aca="false">-Supuestos!$B$15</f>
        <v>-30</v>
      </c>
      <c r="D11" s="19" t="n">
        <f aca="false">-Supuestos!$B$15</f>
        <v>-30</v>
      </c>
      <c r="E11" s="19" t="n">
        <f aca="false">-Supuestos!$B$15</f>
        <v>-30</v>
      </c>
      <c r="F11" s="19" t="n">
        <f aca="false">-Supuestos!$B$15</f>
        <v>-30</v>
      </c>
      <c r="G11" s="19" t="n">
        <f aca="false">-Supuestos!$B$15</f>
        <v>-30</v>
      </c>
      <c r="H11" s="19" t="n">
        <f aca="false">-Supuestos!$B$15</f>
        <v>-30</v>
      </c>
    </row>
    <row r="12" customFormat="false" ht="15" hidden="false" customHeight="false" outlineLevel="0" collapsed="false">
      <c r="A12" s="20" t="s">
        <v>75</v>
      </c>
      <c r="B12" s="12" t="n">
        <v>0</v>
      </c>
      <c r="C12" s="12" t="n">
        <f aca="false">SUM(C6,C8:C11)</f>
        <v>-160</v>
      </c>
      <c r="D12" s="12" t="n">
        <f aca="false">SUM(D6,D8:D11)</f>
        <v>-160</v>
      </c>
      <c r="E12" s="12" t="n">
        <f aca="false">SUM(E6,E8:E11)</f>
        <v>-160</v>
      </c>
      <c r="F12" s="12" t="n">
        <f aca="false">SUM(F6,F8:F11)</f>
        <v>-160</v>
      </c>
      <c r="G12" s="12" t="n">
        <f aca="false">SUM(G6,G8:G11)</f>
        <v>-160</v>
      </c>
      <c r="H12" s="12" t="n">
        <f aca="false">SUM(H6,H8:H11)</f>
        <v>-160</v>
      </c>
    </row>
    <row r="13" customFormat="false" ht="15" hidden="false" customHeight="false" outlineLevel="0" collapsed="false">
      <c r="A13" s="20" t="s">
        <v>76</v>
      </c>
      <c r="B13" s="12" t="n">
        <v>0</v>
      </c>
      <c r="C13" s="12" t="n">
        <f aca="false">C7+SUM(C8:C11)</f>
        <v>65</v>
      </c>
      <c r="D13" s="12" t="n">
        <f aca="false">D7+SUM(D8:D11)</f>
        <v>65</v>
      </c>
      <c r="E13" s="12" t="n">
        <f aca="false">E7+SUM(E8:E11)</f>
        <v>65</v>
      </c>
      <c r="F13" s="12" t="n">
        <f aca="false">F7+SUM(F8:F11)</f>
        <v>65</v>
      </c>
      <c r="G13" s="12" t="n">
        <f aca="false">G7+SUM(G8:G11)</f>
        <v>65</v>
      </c>
      <c r="H13" s="12" t="n">
        <f aca="false">H7+SUM(H8:H11)</f>
        <v>65</v>
      </c>
    </row>
    <row r="14" customFormat="false" ht="15" hidden="false" customHeight="false" outlineLevel="0" collapsed="false">
      <c r="A14" s="4" t="s">
        <v>77</v>
      </c>
      <c r="B14" s="12" t="n">
        <v>0</v>
      </c>
      <c r="C14" s="19" t="n">
        <f aca="false">-MAX(0,C13)*Supuestos!$B$16</f>
        <v>-17.55</v>
      </c>
      <c r="D14" s="19" t="n">
        <f aca="false">-MAX(0,D13)*Supuestos!$B$16</f>
        <v>-17.55</v>
      </c>
      <c r="E14" s="19" t="n">
        <f aca="false">-MAX(0,E13)*Supuestos!$B$16</f>
        <v>-17.55</v>
      </c>
      <c r="F14" s="19" t="n">
        <f aca="false">-MAX(0,F13)*Supuestos!$B$16</f>
        <v>-17.55</v>
      </c>
      <c r="G14" s="19" t="n">
        <f aca="false">-MAX(0,G13)*Supuestos!$B$16</f>
        <v>-17.55</v>
      </c>
      <c r="H14" s="19" t="n">
        <f aca="false">-MAX(0,H13)*Supuestos!$B$16</f>
        <v>-17.55</v>
      </c>
    </row>
    <row r="15" customFormat="false" ht="15" hidden="false" customHeight="false" outlineLevel="0" collapsed="false">
      <c r="A15" s="4" t="s">
        <v>78</v>
      </c>
      <c r="B15" s="12" t="n">
        <v>0</v>
      </c>
      <c r="C15" s="12" t="n">
        <f aca="false">C13+C14</f>
        <v>47.45</v>
      </c>
      <c r="D15" s="12" t="n">
        <f aca="false">D13+D14</f>
        <v>47.45</v>
      </c>
      <c r="E15" s="12" t="n">
        <f aca="false">E13+E14</f>
        <v>47.45</v>
      </c>
      <c r="F15" s="12" t="n">
        <f aca="false">F13+F14</f>
        <v>47.45</v>
      </c>
      <c r="G15" s="12" t="n">
        <f aca="false">G13+G14</f>
        <v>47.45</v>
      </c>
      <c r="H15" s="12" t="n">
        <f aca="false">H13+H14</f>
        <v>47.45</v>
      </c>
    </row>
    <row r="16" customFormat="false" ht="15" hidden="false" customHeight="false" outlineLevel="0" collapsed="false">
      <c r="A16" s="4" t="s">
        <v>79</v>
      </c>
      <c r="B16" s="19" t="n">
        <f aca="false">-Inversion!$B$13</f>
        <v>-88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</row>
    <row r="17" customFormat="false" ht="15" hidden="false" customHeight="false" outlineLevel="0" collapsed="false">
      <c r="A17" s="21" t="s">
        <v>80</v>
      </c>
      <c r="B17" s="17" t="n">
        <f aca="false">B15+B16</f>
        <v>-88</v>
      </c>
      <c r="C17" s="17" t="n">
        <f aca="false">C15+C16</f>
        <v>47.45</v>
      </c>
      <c r="D17" s="17" t="n">
        <f aca="false">D15+D16</f>
        <v>47.45</v>
      </c>
      <c r="E17" s="17" t="n">
        <f aca="false">E15+E16</f>
        <v>47.45</v>
      </c>
      <c r="F17" s="17" t="n">
        <f aca="false">F15+F16</f>
        <v>47.45</v>
      </c>
      <c r="G17" s="17" t="n">
        <f aca="false">G15+G16</f>
        <v>47.45</v>
      </c>
      <c r="H17" s="17" t="n">
        <f aca="false">H15+H16</f>
        <v>47.45</v>
      </c>
    </row>
    <row r="18" customFormat="false" ht="15" hidden="false" customHeight="false" outlineLevel="0" collapsed="false">
      <c r="A18" s="21" t="s">
        <v>81</v>
      </c>
      <c r="B18" s="17" t="n">
        <f aca="false">B17</f>
        <v>-88</v>
      </c>
      <c r="C18" s="17" t="n">
        <f aca="false">B18+C17</f>
        <v>-40.55</v>
      </c>
      <c r="D18" s="17" t="n">
        <f aca="false">C18+D17</f>
        <v>6.90000000000001</v>
      </c>
      <c r="E18" s="17" t="n">
        <f aca="false">D18+E17</f>
        <v>54.35</v>
      </c>
      <c r="F18" s="17" t="n">
        <f aca="false">E18+F17</f>
        <v>101.8</v>
      </c>
      <c r="G18" s="17" t="n">
        <f aca="false">F18+G17</f>
        <v>149.25</v>
      </c>
      <c r="H18" s="17" t="n">
        <f aca="false">G18+H17</f>
        <v>196.7</v>
      </c>
    </row>
    <row r="20" customFormat="false" ht="15" hidden="false" customHeight="false" outlineLevel="0" collapsed="false">
      <c r="A20" s="2" t="s">
        <v>82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62"/>
  </cols>
  <sheetData>
    <row r="1" customFormat="false" ht="24" hidden="false" customHeight="true" outlineLevel="0" collapsed="false">
      <c r="A1" s="1" t="s">
        <v>83</v>
      </c>
      <c r="B1" s="1"/>
      <c r="C1" s="1"/>
    </row>
    <row r="3" customFormat="false" ht="15" hidden="false" customHeight="false" outlineLevel="0" collapsed="false">
      <c r="A3" s="3" t="s">
        <v>84</v>
      </c>
      <c r="B3" s="3" t="s">
        <v>3</v>
      </c>
      <c r="C3" s="3" t="s">
        <v>85</v>
      </c>
    </row>
    <row r="4" customFormat="false" ht="15" hidden="false" customHeight="false" outlineLevel="0" collapsed="false">
      <c r="A4" s="9" t="s">
        <v>86</v>
      </c>
      <c r="B4" s="22"/>
      <c r="C4" s="22"/>
    </row>
    <row r="5" customFormat="false" ht="15" hidden="false" customHeight="false" outlineLevel="0" collapsed="false">
      <c r="A5" s="4" t="s">
        <v>87</v>
      </c>
      <c r="B5" s="19" t="n">
        <f aca="false">Inversion!$B$13</f>
        <v>88</v>
      </c>
      <c r="C5" s="2" t="s">
        <v>88</v>
      </c>
    </row>
    <row r="6" customFormat="false" ht="15" hidden="false" customHeight="false" outlineLevel="0" collapsed="false">
      <c r="A6" s="4" t="s">
        <v>89</v>
      </c>
      <c r="B6" s="12" t="n">
        <f aca="false">MAX(0,-MIN('Flujo de Caja'!$B$18:$H$18)-Inversion!$B$13)</f>
        <v>0</v>
      </c>
      <c r="C6" s="2" t="s">
        <v>90</v>
      </c>
    </row>
    <row r="7" customFormat="false" ht="15" hidden="false" customHeight="false" outlineLevel="0" collapsed="false">
      <c r="A7" s="20" t="s">
        <v>91</v>
      </c>
      <c r="B7" s="17" t="n">
        <f aca="false">MAX(0,-MIN('Flujo de Caja'!$B$18:$H$18))</f>
        <v>88</v>
      </c>
      <c r="C7" s="2" t="s">
        <v>92</v>
      </c>
    </row>
    <row r="8" customFormat="false" ht="15" hidden="false" customHeight="false" outlineLevel="0" collapsed="false">
      <c r="A8" s="9" t="s">
        <v>93</v>
      </c>
      <c r="B8" s="22"/>
      <c r="C8" s="22"/>
    </row>
    <row r="9" customFormat="false" ht="15" hidden="false" customHeight="false" outlineLevel="0" collapsed="false">
      <c r="A9" s="4" t="s">
        <v>94</v>
      </c>
      <c r="B9" s="12" t="n">
        <f aca="false">NPV(Supuestos!$B$20,'Flujo de Caja'!$C$17:$H$17)+'Flujo de Caja'!$B$17</f>
        <v>187.479126512871</v>
      </c>
      <c r="C9" s="2" t="s">
        <v>95</v>
      </c>
    </row>
    <row r="10" customFormat="false" ht="15" hidden="false" customHeight="false" outlineLevel="0" collapsed="false">
      <c r="A10" s="4" t="s">
        <v>96</v>
      </c>
      <c r="B10" s="23" t="n">
        <f aca="false">IFERROR(IRR('Flujo de Caja'!$B$17:$H$17,0.02),"No calculable")</f>
        <v>0.489910783440648</v>
      </c>
      <c r="C10" s="2" t="s">
        <v>97</v>
      </c>
    </row>
    <row r="11" customFormat="false" ht="15" hidden="false" customHeight="false" outlineLevel="0" collapsed="false">
      <c r="A11" s="4" t="s">
        <v>98</v>
      </c>
      <c r="B11" s="23" t="n">
        <f aca="false">IFERROR((1+B10)^12-1,"No calculable")</f>
        <v>118.652881325872</v>
      </c>
      <c r="C11" s="2" t="s">
        <v>99</v>
      </c>
    </row>
    <row r="12" customFormat="false" ht="15" hidden="false" customHeight="false" outlineLevel="0" collapsed="false">
      <c r="A12" s="4" t="s">
        <v>100</v>
      </c>
      <c r="B12" s="24" t="n">
        <f aca="false">Supuestos!$B$17</f>
        <v>0.12</v>
      </c>
      <c r="C12" s="2" t="s">
        <v>101</v>
      </c>
    </row>
    <row r="13" customFormat="false" ht="15" hidden="false" customHeight="false" outlineLevel="0" collapsed="false">
      <c r="A13" s="4" t="s">
        <v>102</v>
      </c>
      <c r="B13" s="11" t="n">
        <f aca="false" t="array" ref="B13:B13">IF(INDEX('Flujo de Caja'!$B$18:$H$18,1,COLUMNS('Flujo de Caja'!$B$18:$H$18))&lt;0,"No recupera en 6 meses",COUNTIF('Flujo de Caja'!$B$18:$H$18,"&lt;0"))</f>
        <v>2</v>
      </c>
      <c r="C13" s="2" t="s">
        <v>103</v>
      </c>
    </row>
    <row r="14" customFormat="false" ht="15" hidden="false" customHeight="false" outlineLevel="0" collapsed="false">
      <c r="A14" s="4" t="s">
        <v>104</v>
      </c>
      <c r="B14" s="12" t="n">
        <f aca="false" t="array" ref="B14:B14">INDEX('Flujo de Caja'!$B$18:$H$18,1,COLUMNS('Flujo de Caja'!$B$18:$H$18))</f>
        <v>196.7</v>
      </c>
      <c r="C14" s="2" t="s">
        <v>105</v>
      </c>
    </row>
    <row r="15" customFormat="false" ht="15" hidden="false" customHeight="false" outlineLevel="0" collapsed="false">
      <c r="A15" s="4" t="s">
        <v>106</v>
      </c>
      <c r="B15" s="23" t="n">
        <f aca="false">IFERROR(B14/B7,0)</f>
        <v>2.23522727272727</v>
      </c>
      <c r="C15" s="2" t="s">
        <v>107</v>
      </c>
    </row>
    <row r="16" customFormat="false" ht="15" hidden="false" customHeight="false" outlineLevel="0" collapsed="false">
      <c r="A16" s="9" t="s">
        <v>108</v>
      </c>
      <c r="B16" s="22"/>
      <c r="C16" s="22"/>
    </row>
    <row r="17" customFormat="false" ht="15" hidden="false" customHeight="false" outlineLevel="0" collapsed="false">
      <c r="A17" s="4" t="s">
        <v>109</v>
      </c>
      <c r="B17" s="11" t="n">
        <f aca="false">ROUNDUP(Supuestos!$B$23/Supuestos!$B$24,0)</f>
        <v>11</v>
      </c>
      <c r="C17" s="2" t="s">
        <v>110</v>
      </c>
    </row>
    <row r="18" customFormat="false" ht="15" hidden="false" customHeight="false" outlineLevel="0" collapsed="false">
      <c r="A18" s="4" t="s">
        <v>111</v>
      </c>
      <c r="B18" s="18" t="n">
        <f aca="false">Supuestos!$B$21</f>
        <v>15</v>
      </c>
      <c r="C18" s="2" t="s">
        <v>112</v>
      </c>
    </row>
    <row r="19" customFormat="false" ht="15" hidden="false" customHeight="false" outlineLevel="0" collapsed="false">
      <c r="A19" s="4" t="s">
        <v>113</v>
      </c>
      <c r="B19" s="19" t="n">
        <f aca="false">B17*Supuestos!$B$4</f>
        <v>165</v>
      </c>
      <c r="C19" s="2" t="s">
        <v>114</v>
      </c>
    </row>
    <row r="20" customFormat="false" ht="15" hidden="false" customHeight="false" outlineLevel="0" collapsed="false">
      <c r="A20" s="4" t="s">
        <v>115</v>
      </c>
      <c r="B20" s="19" t="n">
        <f aca="false">B18*Supuestos!$B$24-Supuestos!$B$23</f>
        <v>65</v>
      </c>
      <c r="C20" s="2" t="s">
        <v>116</v>
      </c>
    </row>
    <row r="21" customFormat="false" ht="15" hidden="false" customHeight="false" outlineLevel="0" collapsed="false">
      <c r="A21" s="4" t="s">
        <v>117</v>
      </c>
      <c r="B21" s="23" t="n">
        <f aca="false">IFERROR(B20/(B18*Supuestos!$B$4),0)</f>
        <v>0.288888888888889</v>
      </c>
      <c r="C21" s="2" t="s">
        <v>118</v>
      </c>
    </row>
    <row r="22" customFormat="false" ht="15" hidden="false" customHeight="false" outlineLevel="0" collapsed="false">
      <c r="A22" s="9" t="s">
        <v>119</v>
      </c>
      <c r="B22" s="22"/>
      <c r="C22" s="22"/>
    </row>
    <row r="23" customFormat="false" ht="43.5" hidden="false" customHeight="true" outlineLevel="0" collapsed="false">
      <c r="A23" s="4" t="s">
        <v>120</v>
      </c>
      <c r="B23" s="25" t="str">
        <f aca="false">IF(AND(ISNUMBER(B9),B9&gt;0,B18&gt;=B17),"VIABLE: VAN positivo y la capacidad supera el punto de equilibrio",IF(B18&lt;B17,"NO VIABLE: la capacidad no alcanza el punto de equilibrio","NO VIABLE en 6 meses: VAN negativo"))</f>
        <v>VIABLE: VAN positivo y la capacidad supera el punto de equilibrio</v>
      </c>
      <c r="C23" s="2" t="s">
        <v>121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G17" activeCellId="0" sqref="G17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5" min="2" style="0" width="15"/>
  </cols>
  <sheetData>
    <row r="1" customFormat="false" ht="24" hidden="false" customHeight="true" outlineLevel="0" collapsed="false">
      <c r="A1" s="1" t="s">
        <v>122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0" hidden="false" customHeight="true" outlineLevel="0" collapsed="false">
      <c r="A2" s="26" t="s">
        <v>123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customFormat="false" ht="15" hidden="false" customHeight="false" outlineLevel="0" collapsed="false">
      <c r="A4" s="20" t="s">
        <v>124</v>
      </c>
      <c r="B4" s="17" t="n">
        <f aca="false">F14</f>
        <v>1048</v>
      </c>
    </row>
    <row r="5" customFormat="false" ht="15" hidden="false" customHeight="false" outlineLevel="0" collapsed="false">
      <c r="A5" s="20" t="s">
        <v>125</v>
      </c>
      <c r="B5" s="27" t="n">
        <f aca="false">COUNT(D9:D14)</f>
        <v>0</v>
      </c>
    </row>
    <row r="8" customFormat="false" ht="45" hidden="false" customHeight="true" outlineLevel="0" collapsed="false">
      <c r="A8" s="3" t="s">
        <v>126</v>
      </c>
      <c r="B8" s="3" t="s">
        <v>127</v>
      </c>
      <c r="C8" s="3" t="s">
        <v>128</v>
      </c>
      <c r="D8" s="3" t="s">
        <v>129</v>
      </c>
      <c r="E8" s="3" t="s">
        <v>130</v>
      </c>
      <c r="F8" s="3" t="s">
        <v>131</v>
      </c>
      <c r="G8" s="3" t="s">
        <v>132</v>
      </c>
      <c r="H8" s="3" t="s">
        <v>133</v>
      </c>
      <c r="I8" s="3" t="s">
        <v>134</v>
      </c>
      <c r="J8" s="3" t="s">
        <v>135</v>
      </c>
      <c r="K8" s="3" t="s">
        <v>136</v>
      </c>
      <c r="L8" s="3" t="s">
        <v>137</v>
      </c>
      <c r="M8" s="3" t="s">
        <v>138</v>
      </c>
      <c r="N8" s="3" t="s">
        <v>139</v>
      </c>
      <c r="O8" s="3" t="s">
        <v>140</v>
      </c>
    </row>
    <row r="9" customFormat="false" ht="15" hidden="false" customHeight="false" outlineLevel="0" collapsed="false">
      <c r="A9" s="28" t="n">
        <v>1</v>
      </c>
      <c r="B9" s="23" t="n">
        <f aca="false">F9/$B$4</f>
        <v>0.236641221374046</v>
      </c>
      <c r="C9" s="7"/>
      <c r="D9" s="8"/>
      <c r="E9" s="19" t="n">
        <f aca="false">-'Flujo de Caja'!C12+Inversion!$B$13</f>
        <v>248</v>
      </c>
      <c r="F9" s="12" t="n">
        <f aca="false">SUM($E$9:E9)</f>
        <v>248</v>
      </c>
      <c r="G9" s="12" t="str">
        <f aca="false">IF(D9="","",C9*$B$4)</f>
        <v/>
      </c>
      <c r="H9" s="12" t="str">
        <f aca="false">IF(D9="","",G9-D9)</f>
        <v/>
      </c>
      <c r="I9" s="12" t="str">
        <f aca="false">IF(D9="","",G9-F9)</f>
        <v/>
      </c>
      <c r="J9" s="29" t="str">
        <f aca="false">IF(D9="","",IFERROR(G9/D9,0))</f>
        <v/>
      </c>
      <c r="K9" s="29" t="str">
        <f aca="false">IF(D9="","",IFERROR(G9/F9,0))</f>
        <v/>
      </c>
      <c r="L9" s="12" t="str">
        <f aca="false">IF(D9="","",IFERROR($B$4/J9,0))</f>
        <v/>
      </c>
      <c r="M9" s="12" t="str">
        <f aca="false">IF(D9="","",L9-D9)</f>
        <v/>
      </c>
      <c r="N9" s="12" t="str">
        <f aca="false">IF(D9="","",$B$4-L9)</f>
        <v/>
      </c>
      <c r="O9" s="29" t="str">
        <f aca="false">IF(D9="","",IFERROR(($B$4-G9)/($B$4-D9),0))</f>
        <v/>
      </c>
    </row>
    <row r="10" customFormat="false" ht="15" hidden="false" customHeight="false" outlineLevel="0" collapsed="false">
      <c r="A10" s="28" t="n">
        <v>2</v>
      </c>
      <c r="B10" s="23" t="n">
        <f aca="false">F10/$B$4</f>
        <v>0.389312977099237</v>
      </c>
      <c r="C10" s="7"/>
      <c r="D10" s="8"/>
      <c r="E10" s="19" t="n">
        <f aca="false">-'Flujo de Caja'!D12</f>
        <v>160</v>
      </c>
      <c r="F10" s="12" t="n">
        <f aca="false">SUM($E$9:E10)</f>
        <v>408</v>
      </c>
      <c r="G10" s="12" t="str">
        <f aca="false">IF(D10="","",C10*$B$4)</f>
        <v/>
      </c>
      <c r="H10" s="12" t="str">
        <f aca="false">IF(D10="","",G10-D10)</f>
        <v/>
      </c>
      <c r="I10" s="12" t="str">
        <f aca="false">IF(D10="","",G10-F10)</f>
        <v/>
      </c>
      <c r="J10" s="29" t="str">
        <f aca="false">IF(D10="","",IFERROR(G10/D10,0))</f>
        <v/>
      </c>
      <c r="K10" s="29" t="str">
        <f aca="false">IF(D10="","",IFERROR(G10/F10,0))</f>
        <v/>
      </c>
      <c r="L10" s="12" t="str">
        <f aca="false">IF(D10="","",IFERROR($B$4/J10,0))</f>
        <v/>
      </c>
      <c r="M10" s="12" t="str">
        <f aca="false">IF(D10="","",L10-D10)</f>
        <v/>
      </c>
      <c r="N10" s="12" t="str">
        <f aca="false">IF(D10="","",$B$4-L10)</f>
        <v/>
      </c>
      <c r="O10" s="29" t="str">
        <f aca="false">IF(D10="","",IFERROR(($B$4-G10)/($B$4-D10),0))</f>
        <v/>
      </c>
    </row>
    <row r="11" customFormat="false" ht="15" hidden="false" customHeight="false" outlineLevel="0" collapsed="false">
      <c r="A11" s="28" t="n">
        <v>3</v>
      </c>
      <c r="B11" s="23" t="n">
        <f aca="false">F11/$B$4</f>
        <v>0.541984732824428</v>
      </c>
      <c r="C11" s="7"/>
      <c r="D11" s="8"/>
      <c r="E11" s="19" t="n">
        <f aca="false">-'Flujo de Caja'!E12</f>
        <v>160</v>
      </c>
      <c r="F11" s="12" t="n">
        <f aca="false">SUM($E$9:E11)</f>
        <v>568</v>
      </c>
      <c r="G11" s="12" t="str">
        <f aca="false">IF(D11="","",C11*$B$4)</f>
        <v/>
      </c>
      <c r="H11" s="12" t="str">
        <f aca="false">IF(D11="","",G11-D11)</f>
        <v/>
      </c>
      <c r="I11" s="12" t="str">
        <f aca="false">IF(D11="","",G11-F11)</f>
        <v/>
      </c>
      <c r="J11" s="29" t="str">
        <f aca="false">IF(D11="","",IFERROR(G11/D11,0))</f>
        <v/>
      </c>
      <c r="K11" s="29" t="str">
        <f aca="false">IF(D11="","",IFERROR(G11/F11,0))</f>
        <v/>
      </c>
      <c r="L11" s="12" t="str">
        <f aca="false">IF(D11="","",IFERROR($B$4/J11,0))</f>
        <v/>
      </c>
      <c r="M11" s="12" t="str">
        <f aca="false">IF(D11="","",L11-D11)</f>
        <v/>
      </c>
      <c r="N11" s="12" t="str">
        <f aca="false">IF(D11="","",$B$4-L11)</f>
        <v/>
      </c>
      <c r="O11" s="29" t="str">
        <f aca="false">IF(D11="","",IFERROR(($B$4-G11)/($B$4-D11),0))</f>
        <v/>
      </c>
    </row>
    <row r="12" customFormat="false" ht="15" hidden="false" customHeight="false" outlineLevel="0" collapsed="false">
      <c r="A12" s="28" t="n">
        <v>4</v>
      </c>
      <c r="B12" s="23" t="n">
        <f aca="false">F12/$B$4</f>
        <v>0.694656488549618</v>
      </c>
      <c r="C12" s="7"/>
      <c r="D12" s="8"/>
      <c r="E12" s="19" t="n">
        <f aca="false">-'Flujo de Caja'!F12</f>
        <v>160</v>
      </c>
      <c r="F12" s="12" t="n">
        <f aca="false">SUM($E$9:E12)</f>
        <v>728</v>
      </c>
      <c r="G12" s="12" t="str">
        <f aca="false">IF(D12="","",C12*$B$4)</f>
        <v/>
      </c>
      <c r="H12" s="12" t="str">
        <f aca="false">IF(D12="","",G12-D12)</f>
        <v/>
      </c>
      <c r="I12" s="12" t="str">
        <f aca="false">IF(D12="","",G12-F12)</f>
        <v/>
      </c>
      <c r="J12" s="29" t="str">
        <f aca="false">IF(D12="","",IFERROR(G12/D12,0))</f>
        <v/>
      </c>
      <c r="K12" s="29" t="str">
        <f aca="false">IF(D12="","",IFERROR(G12/F12,0))</f>
        <v/>
      </c>
      <c r="L12" s="12" t="str">
        <f aca="false">IF(D12="","",IFERROR($B$4/J12,0))</f>
        <v/>
      </c>
      <c r="M12" s="12" t="str">
        <f aca="false">IF(D12="","",L12-D12)</f>
        <v/>
      </c>
      <c r="N12" s="12" t="str">
        <f aca="false">IF(D12="","",$B$4-L12)</f>
        <v/>
      </c>
      <c r="O12" s="29" t="str">
        <f aca="false">IF(D12="","",IFERROR(($B$4-G12)/($B$4-D12),0))</f>
        <v/>
      </c>
    </row>
    <row r="13" customFormat="false" ht="15" hidden="false" customHeight="false" outlineLevel="0" collapsed="false">
      <c r="A13" s="28" t="n">
        <v>5</v>
      </c>
      <c r="B13" s="23" t="n">
        <f aca="false">F13/$B$4</f>
        <v>0.847328244274809</v>
      </c>
      <c r="C13" s="7"/>
      <c r="D13" s="8"/>
      <c r="E13" s="19" t="n">
        <f aca="false">-'Flujo de Caja'!G12</f>
        <v>160</v>
      </c>
      <c r="F13" s="12" t="n">
        <f aca="false">SUM($E$9:E13)</f>
        <v>888</v>
      </c>
      <c r="G13" s="12" t="str">
        <f aca="false">IF(D13="","",C13*$B$4)</f>
        <v/>
      </c>
      <c r="H13" s="12" t="str">
        <f aca="false">IF(D13="","",G13-D13)</f>
        <v/>
      </c>
      <c r="I13" s="12" t="str">
        <f aca="false">IF(D13="","",G13-F13)</f>
        <v/>
      </c>
      <c r="J13" s="29" t="str">
        <f aca="false">IF(D13="","",IFERROR(G13/D13,0))</f>
        <v/>
      </c>
      <c r="K13" s="29" t="str">
        <f aca="false">IF(D13="","",IFERROR(G13/F13,0))</f>
        <v/>
      </c>
      <c r="L13" s="12" t="str">
        <f aca="false">IF(D13="","",IFERROR($B$4/J13,0))</f>
        <v/>
      </c>
      <c r="M13" s="12" t="str">
        <f aca="false">IF(D13="","",L13-D13)</f>
        <v/>
      </c>
      <c r="N13" s="12" t="str">
        <f aca="false">IF(D13="","",$B$4-L13)</f>
        <v/>
      </c>
      <c r="O13" s="29" t="str">
        <f aca="false">IF(D13="","",IFERROR(($B$4-G13)/($B$4-D13),0))</f>
        <v/>
      </c>
    </row>
    <row r="14" customFormat="false" ht="15" hidden="false" customHeight="false" outlineLevel="0" collapsed="false">
      <c r="A14" s="28" t="n">
        <v>6</v>
      </c>
      <c r="B14" s="23" t="n">
        <f aca="false">F14/$B$4</f>
        <v>1</v>
      </c>
      <c r="C14" s="7"/>
      <c r="D14" s="8"/>
      <c r="E14" s="19" t="n">
        <f aca="false">-'Flujo de Caja'!H12</f>
        <v>160</v>
      </c>
      <c r="F14" s="12" t="n">
        <f aca="false">SUM($E$9:E14)</f>
        <v>1048</v>
      </c>
      <c r="G14" s="12" t="str">
        <f aca="false">IF(D14="","",C14*$B$4)</f>
        <v/>
      </c>
      <c r="H14" s="12" t="str">
        <f aca="false">IF(D14="","",G14-D14)</f>
        <v/>
      </c>
      <c r="I14" s="12" t="str">
        <f aca="false">IF(D14="","",G14-F14)</f>
        <v/>
      </c>
      <c r="J14" s="29" t="str">
        <f aca="false">IF(D14="","",IFERROR(G14/D14,0))</f>
        <v/>
      </c>
      <c r="K14" s="29" t="str">
        <f aca="false">IF(D14="","",IFERROR(G14/F14,0))</f>
        <v/>
      </c>
      <c r="L14" s="12" t="str">
        <f aca="false">IF(D14="","",IFERROR($B$4/J14,0))</f>
        <v/>
      </c>
      <c r="M14" s="12" t="str">
        <f aca="false">IF(D14="","",L14-D14)</f>
        <v/>
      </c>
      <c r="N14" s="12" t="str">
        <f aca="false">IF(D14="","",$B$4-L14)</f>
        <v/>
      </c>
      <c r="O14" s="29" t="str">
        <f aca="false">IF(D14="","",IFERROR(($B$4-G14)/($B$4-D14),0))</f>
        <v/>
      </c>
    </row>
    <row r="16" customFormat="false" ht="15" hidden="false" customHeight="false" outlineLevel="0" collapsed="false">
      <c r="A16" s="9" t="s">
        <v>141</v>
      </c>
      <c r="B16" s="22"/>
      <c r="C16" s="22"/>
    </row>
    <row r="17" customFormat="false" ht="15" hidden="false" customHeight="false" outlineLevel="0" collapsed="false">
      <c r="A17" s="4" t="s">
        <v>142</v>
      </c>
      <c r="B17" s="12" t="str">
        <f aca="false">IF($B$5=0,"Sin datos",INDEX(F9:F14,$B$5))</f>
        <v>Sin datos</v>
      </c>
      <c r="C17" s="2" t="s">
        <v>143</v>
      </c>
    </row>
    <row r="18" customFormat="false" ht="15" hidden="false" customHeight="false" outlineLevel="0" collapsed="false">
      <c r="A18" s="4" t="s">
        <v>132</v>
      </c>
      <c r="B18" s="12" t="str">
        <f aca="false">IF($B$5=0,"Sin datos",INDEX(G9:G14,$B$5))</f>
        <v>Sin datos</v>
      </c>
      <c r="C18" s="2" t="s">
        <v>144</v>
      </c>
    </row>
    <row r="19" customFormat="false" ht="15" hidden="false" customHeight="false" outlineLevel="0" collapsed="false">
      <c r="A19" s="4" t="s">
        <v>145</v>
      </c>
      <c r="B19" s="12" t="str">
        <f aca="false">IF($B$5=0,"Sin datos",INDEX(D9:D14,$B$5))</f>
        <v>Sin datos</v>
      </c>
      <c r="C19" s="2" t="s">
        <v>146</v>
      </c>
    </row>
    <row r="20" customFormat="false" ht="15" hidden="false" customHeight="false" outlineLevel="0" collapsed="false">
      <c r="A20" s="4" t="s">
        <v>147</v>
      </c>
      <c r="B20" s="12" t="str">
        <f aca="false">IF($B$5=0,"Sin datos",INDEX(H9:H14,$B$5))</f>
        <v>Sin datos</v>
      </c>
      <c r="C20" s="2" t="s">
        <v>148</v>
      </c>
    </row>
    <row r="21" customFormat="false" ht="15" hidden="false" customHeight="false" outlineLevel="0" collapsed="false">
      <c r="A21" s="4" t="s">
        <v>149</v>
      </c>
      <c r="B21" s="12" t="str">
        <f aca="false">IF($B$5=0,"Sin datos",INDEX(I9:I14,$B$5))</f>
        <v>Sin datos</v>
      </c>
      <c r="C21" s="2" t="s">
        <v>150</v>
      </c>
    </row>
    <row r="22" customFormat="false" ht="15" hidden="false" customHeight="false" outlineLevel="0" collapsed="false">
      <c r="A22" s="4" t="s">
        <v>151</v>
      </c>
      <c r="B22" s="29" t="str">
        <f aca="false">IF($B$5=0,"Sin datos",INDEX(J9:J14,$B$5))</f>
        <v>Sin datos</v>
      </c>
      <c r="C22" s="2" t="s">
        <v>152</v>
      </c>
    </row>
    <row r="23" customFormat="false" ht="15" hidden="false" customHeight="false" outlineLevel="0" collapsed="false">
      <c r="A23" s="4" t="s">
        <v>153</v>
      </c>
      <c r="B23" s="29" t="str">
        <f aca="false">IF($B$5=0,"Sin datos",INDEX(K9:K14,$B$5))</f>
        <v>Sin datos</v>
      </c>
      <c r="C23" s="2" t="s">
        <v>154</v>
      </c>
    </row>
    <row r="24" customFormat="false" ht="15" hidden="false" customHeight="false" outlineLevel="0" collapsed="false">
      <c r="A24" s="4" t="s">
        <v>155</v>
      </c>
      <c r="B24" s="12" t="str">
        <f aca="false">IF($B$5=0,"Sin datos",INDEX(L9:L14,$B$5))</f>
        <v>Sin datos</v>
      </c>
      <c r="C24" s="2" t="s">
        <v>156</v>
      </c>
    </row>
    <row r="25" customFormat="false" ht="15" hidden="false" customHeight="false" outlineLevel="0" collapsed="false">
      <c r="A25" s="4" t="s">
        <v>157</v>
      </c>
      <c r="B25" s="12" t="str">
        <f aca="false">IF($B$5=0,"Sin datos",INDEX(M9:M14,$B$5))</f>
        <v>Sin datos</v>
      </c>
      <c r="C25" s="2" t="s">
        <v>158</v>
      </c>
    </row>
    <row r="26" customFormat="false" ht="15" hidden="false" customHeight="false" outlineLevel="0" collapsed="false">
      <c r="A26" s="4" t="s">
        <v>159</v>
      </c>
      <c r="B26" s="12" t="str">
        <f aca="false">IF($B$5=0,"Sin datos",INDEX(N9:N14,$B$5))</f>
        <v>Sin datos</v>
      </c>
      <c r="C26" s="2" t="s">
        <v>160</v>
      </c>
    </row>
    <row r="27" customFormat="false" ht="15" hidden="false" customHeight="false" outlineLevel="0" collapsed="false">
      <c r="A27" s="4" t="s">
        <v>161</v>
      </c>
      <c r="B27" s="29" t="str">
        <f aca="false">IF($B$5=0,"Sin datos",INDEX(O9:O14,$B$5))</f>
        <v>Sin datos</v>
      </c>
      <c r="C27" s="2" t="s">
        <v>162</v>
      </c>
    </row>
    <row r="28" customFormat="false" ht="15" hidden="false" customHeight="false" outlineLevel="0" collapsed="false">
      <c r="A28" s="14" t="s">
        <v>163</v>
      </c>
      <c r="B28" s="20" t="str">
        <f aca="false">IF($B$5=0,"Sin datos",IF(B22&gt;=1,"Bajo presupuesto","Sobre presupuesto"))</f>
        <v>Sin datos</v>
      </c>
    </row>
    <row r="29" customFormat="false" ht="15" hidden="false" customHeight="false" outlineLevel="0" collapsed="false">
      <c r="A29" s="14" t="s">
        <v>164</v>
      </c>
      <c r="B29" s="20" t="str">
        <f aca="false">IF($B$5=0,"Sin datos",IF(B23&gt;=1,"Adelantado / a tiempo","Atrasado"))</f>
        <v>Sin datos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2026-09-25T21:17:11Z</dcterms:created>
  <dc:creator>openpyxl</dc:creator>
  <dc:description/>
  <dc:language>en-US</dc:language>
  <cp:lastModifiedBy/>
  <dcterms:modified xsi:type="dcterms:W3CDTF">2026-09-26T17:15:59Z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