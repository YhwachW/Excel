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Inversion" sheetId="2" state="visible" r:id="rId4"/>
    <sheet name="Flujo de Caja" sheetId="3" state="visible" r:id="rId5"/>
    <sheet name="Indicadores" sheetId="4" state="visible" r:id="rId6"/>
    <sheet name="Valor Ganad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Valores de los meses 1-6 = EJEMPLO. Reemplazar por datos reales.</t>
        </r>
      </text>
    </comment>
  </commentList>
</comments>
</file>

<file path=xl/sharedStrings.xml><?xml version="1.0" encoding="utf-8"?>
<sst xmlns="http://schemas.openxmlformats.org/spreadsheetml/2006/main" count="191" uniqueCount="181">
  <si>
    <t xml:space="preserve">Academia de League of Legends - Supuestos del modelo</t>
  </si>
  <si>
    <t xml:space="preserve">Celdas en azul con fondo amarillo = datos que puedes modificar. Todo lo demas se recalcula solo.</t>
  </si>
  <si>
    <t xml:space="preserve">Supuesto</t>
  </si>
  <si>
    <t xml:space="preserve">Valor</t>
  </si>
  <si>
    <t xml:space="preserve">Fuente / comentario</t>
  </si>
  <si>
    <t xml:space="preserve">Cobro mensual por alumno (USD)</t>
  </si>
  <si>
    <t xml:space="preserve">Dato del usuario</t>
  </si>
  <si>
    <t xml:space="preserve">Alumnos en el mes 1</t>
  </si>
  <si>
    <t xml:space="preserve">Supuesto: ajustar segun preventa / comunidad</t>
  </si>
  <si>
    <t xml:space="preserve">Crecimiento neto mensual de alumnos</t>
  </si>
  <si>
    <t xml:space="preserve">Supuesto: altas menos bajas (churn)</t>
  </si>
  <si>
    <t xml:space="preserve">Alumnos maximos por coach</t>
  </si>
  <si>
    <t xml:space="preserve">Supuesto: clases grupales + revision de VODs</t>
  </si>
  <si>
    <t xml:space="preserve">Numero de coaches</t>
  </si>
  <si>
    <t xml:space="preserve">Sueldo por coach (USD por hora)</t>
  </si>
  <si>
    <t xml:space="preserve">Dato del usuario (20 USD). Se asume pago por hora</t>
  </si>
  <si>
    <t xml:space="preserve">Horas pagadas por coach al mes</t>
  </si>
  <si>
    <t xml:space="preserve">Supuesto: 5 h/semana. Si los 20 USD son un sueldo MENSUAL fijo, escribe 1</t>
  </si>
  <si>
    <t xml:space="preserve">Comision pasarela de pago (% del ingreso)</t>
  </si>
  <si>
    <t xml:space="preserve">Supuesto: PayPal/Stripe aprox. 5%</t>
  </si>
  <si>
    <t xml:space="preserve">Plataforma y software mensual (USD)</t>
  </si>
  <si>
    <t xml:space="preserve">Supuesto: Discord Nitro, hosting web, herramientas VOD</t>
  </si>
  <si>
    <t xml:space="preserve">Marketing mensual (USD)</t>
  </si>
  <si>
    <t xml:space="preserve">Supuesto: anuncios en redes / creadores</t>
  </si>
  <si>
    <t xml:space="preserve">Otros gastos mensuales (USD)</t>
  </si>
  <si>
    <t xml:space="preserve">Supuesto: administracion, varios</t>
  </si>
  <si>
    <t xml:space="preserve">Tasa de impuesto sobre utilidad</t>
  </si>
  <si>
    <t xml:space="preserve">Supuesto: ajustar segun pais / regimen</t>
  </si>
  <si>
    <t xml:space="preserve">Tasa de descuento anual (costo de oportunidad)</t>
  </si>
  <si>
    <t xml:space="preserve">Supuesto: rentabilidad minima exigida</t>
  </si>
  <si>
    <t xml:space="preserve">Valores calculados</t>
  </si>
  <si>
    <t xml:space="preserve">Tasa de descuento mensual</t>
  </si>
  <si>
    <t xml:space="preserve">Equivalente mensual de la tasa anual</t>
  </si>
  <si>
    <t xml:space="preserve">Capacidad maxima de alumnos</t>
  </si>
  <si>
    <t xml:space="preserve">Coaches x alumnos por coach</t>
  </si>
  <si>
    <t xml:space="preserve">Costo mensual total de coaches (USD)</t>
  </si>
  <si>
    <t xml:space="preserve">Coaches x sueldo x horas</t>
  </si>
  <si>
    <t xml:space="preserve">Costos fijos mensuales totales (USD)</t>
  </si>
  <si>
    <t xml:space="preserve">Coaches + plataforma + marketing + otros</t>
  </si>
  <si>
    <t xml:space="preserve">Margen por alumno despues de comision (USD)</t>
  </si>
  <si>
    <t xml:space="preserve">Precio - comision</t>
  </si>
  <si>
    <t xml:space="preserve">Inversion inicial (mes 0)</t>
  </si>
  <si>
    <t xml:space="preserve">Edita los montos en azul. Los imprevistos se calculan como % del subtotal.</t>
  </si>
  <si>
    <t xml:space="preserve">Concepto</t>
  </si>
  <si>
    <t xml:space="preserve">Monto (USD)</t>
  </si>
  <si>
    <t xml:space="preserve">Comentario</t>
  </si>
  <si>
    <t xml:space="preserve">Constitucion legal y tramites</t>
  </si>
  <si>
    <t xml:space="preserve">Pagina web / landing de inscripcion</t>
  </si>
  <si>
    <t xml:space="preserve">Branding (logo, overlays, redes)</t>
  </si>
  <si>
    <t xml:space="preserve">Equipo de streaming (microfono, camara)</t>
  </si>
  <si>
    <t xml:space="preserve">Licencias y herramientas iniciales</t>
  </si>
  <si>
    <t xml:space="preserve">Campana de marketing de lanzamiento</t>
  </si>
  <si>
    <t xml:space="preserve">Subtotal</t>
  </si>
  <si>
    <t xml:space="preserve">% imprevistos</t>
  </si>
  <si>
    <t xml:space="preserve">Supuesto: colchon para gastos no previstos</t>
  </si>
  <si>
    <t xml:space="preserve">Imprevistos</t>
  </si>
  <si>
    <t xml:space="preserve">INVERSION INICIAL TOTAL</t>
  </si>
  <si>
    <t xml:space="preserve">Flujo de caja proyectado - 24 meses (USD)</t>
  </si>
  <si>
    <t xml:space="preserve">Mes 0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</si>
  <si>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</si>
  <si>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</si>
  <si>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</si>
  <si>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</si>
  <si>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</si>
  <si>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</si>
  <si>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</si>
  <si>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</si>
  <si>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</si>
  <si>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</si>
  <si>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</si>
  <si>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</si>
  <si>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Mes 13</t>
  </si>
  <si>
    <t xml:space="preserve">Mes 14</t>
  </si>
  <si>
    <t xml:space="preserve">Mes 15</t>
  </si>
  <si>
    <t xml:space="preserve">Mes 16</t>
  </si>
  <si>
    <t xml:space="preserve">Mes 17</t>
  </si>
  <si>
    <t xml:space="preserve">Mes 18</t>
  </si>
  <si>
    <t xml:space="preserve">Mes 19</t>
  </si>
  <si>
    <t xml:space="preserve">Mes 20</t>
  </si>
  <si>
    <t xml:space="preserve">Mes 21</t>
  </si>
  <si>
    <t xml:space="preserve">Mes 22</t>
  </si>
  <si>
    <t xml:space="preserve">Mes 23</t>
  </si>
  <si>
    <t xml:space="preserve">Mes 24</t>
  </si>
  <si>
    <t xml:space="preserve">Alumnos activos</t>
  </si>
  <si>
    <t xml:space="preserve">Ingresos por mensualidades</t>
  </si>
  <si>
    <t xml:space="preserve">(-) Comision pasarela</t>
  </si>
  <si>
    <t xml:space="preserve">Ingresos netos</t>
  </si>
  <si>
    <t xml:space="preserve">(-) Sueldos coaches</t>
  </si>
  <si>
    <t xml:space="preserve">(-) Plataforma y software</t>
  </si>
  <si>
    <t xml:space="preserve">(-) Marketing</t>
  </si>
  <si>
    <t xml:space="preserve">(-) Otros gastos</t>
  </si>
  <si>
    <t xml:space="preserve">Total egresos operativos</t>
  </si>
  <si>
    <t xml:space="preserve">Utilidad operativa</t>
  </si>
  <si>
    <t xml:space="preserve">(-) Impuestos</t>
  </si>
  <si>
    <t xml:space="preserve">Flujo operativo neto</t>
  </si>
  <si>
    <t xml:space="preserve">(-) Inversion inicial</t>
  </si>
  <si>
    <t xml:space="preserve">FLUJO DE CAJA NETO</t>
  </si>
  <si>
    <t xml:space="preserve">Flujo de caja acumulado</t>
  </si>
  <si>
    <t xml:space="preserve">Mes 0 = puesta en marcha (solo inversion). Verde = vinculo a otra hoja.</t>
  </si>
  <si>
    <t xml:space="preserve">Indicadores de viabilidad economica</t>
  </si>
  <si>
    <t xml:space="preserve">Indicador</t>
  </si>
  <si>
    <t xml:space="preserve">Como se interpreta</t>
  </si>
  <si>
    <t xml:space="preserve">INVERSION</t>
  </si>
  <si>
    <t xml:space="preserve">Inversion inicial (equipos, web, lanzamiento)</t>
  </si>
  <si>
    <t xml:space="preserve">Dinero que se desembolsa en el mes 0</t>
  </si>
  <si>
    <t xml:space="preserve">Deficit operativo maximo (capital de trabajo)</t>
  </si>
  <si>
    <t xml:space="preserve">Perdidas de los primeros meses que tambien debes financiar</t>
  </si>
  <si>
    <t xml:space="preserve">INVERSION TOTAL REQUERIDA</t>
  </si>
  <si>
    <t xml:space="preserve">Maximo dinero negativo acumulado = lo que necesitas tener disponible</t>
  </si>
  <si>
    <t xml:space="preserve">RENTABILIDAD</t>
  </si>
  <si>
    <t xml:space="preserve">VAN / VPN (24 meses)</t>
  </si>
  <si>
    <t xml:space="preserve">&gt; 0: el proyecto crea valor sobre la tasa exigida</t>
  </si>
  <si>
    <t xml:space="preserve">TIR mensual</t>
  </si>
  <si>
    <t xml:space="preserve">Rentabilidad mensual del proyecto</t>
  </si>
  <si>
    <t xml:space="preserve">TIR anual equivalente</t>
  </si>
  <si>
    <t xml:space="preserve">Viable si es mayor que la tasa de descuento anual</t>
  </si>
  <si>
    <t xml:space="preserve">Tasa de descuento anual</t>
  </si>
  <si>
    <t xml:space="preserve">Rentabilidad minima exigida (Supuestos)</t>
  </si>
  <si>
    <t xml:space="preserve">Periodo de recuperacion (meses)</t>
  </si>
  <si>
    <t xml:space="preserve">Primer mes en que el flujo acumulado deja de ser negativo</t>
  </si>
  <si>
    <t xml:space="preserve">Utilidad acumulada a 24 meses</t>
  </si>
  <si>
    <t xml:space="preserve">Flujo acumulado al final del mes 24</t>
  </si>
  <si>
    <t xml:space="preserve">ROI a 24 meses</t>
  </si>
  <si>
    <t xml:space="preserve">Utilidad acumulada / inversion total requerida</t>
  </si>
  <si>
    <t xml:space="preserve">OPERACION</t>
  </si>
  <si>
    <t xml:space="preserve">Punto de equilibrio (alumnos/mes)</t>
  </si>
  <si>
    <t xml:space="preserve">Alumnos necesarios para cubrir todos los costos mensuales</t>
  </si>
  <si>
    <t xml:space="preserve">Capacidad maxima (alumnos)</t>
  </si>
  <si>
    <t xml:space="preserve">Si es menor al punto de equilibrio, el negocio NO es viable</t>
  </si>
  <si>
    <t xml:space="preserve">Punto de equilibrio en ventas (USD/mes)</t>
  </si>
  <si>
    <t xml:space="preserve">Ingreso mensual minimo</t>
  </si>
  <si>
    <t xml:space="preserve">Utilidad mensual a plena capacidad</t>
  </si>
  <si>
    <t xml:space="preserve">Resultado mensual con la academia llena</t>
  </si>
  <si>
    <t xml:space="preserve">Margen a plena capacidad</t>
  </si>
  <si>
    <t xml:space="preserve">Utilidad / ingresos</t>
  </si>
  <si>
    <t xml:space="preserve">CONCLUSION</t>
  </si>
  <si>
    <t xml:space="preserve">Dictamen</t>
  </si>
  <si>
    <t xml:space="preserve">Resultado automatico segun los supuestos</t>
  </si>
  <si>
    <t xml:space="preserve">Indicadores de Valor Ganado (EVM) - Plan del primer ano</t>
  </si>
  <si>
    <t xml:space="preserve">Proyecto = inversion + operacion de los meses 1 a 12. Cada mes ingresa en amarillo el % de avance real del plan y el costo real acumulado. Los meses 1-6 traen valores de EJEMPLO: reemplazalos por tus datos.</t>
  </si>
  <si>
    <t xml:space="preserve">BAC - Presupuesto total del proyecto (USD)</t>
  </si>
  <si>
    <t xml:space="preserve">Mes de corte (ultimo mes con datos)</t>
  </si>
  <si>
    <t xml:space="preserve">Mes</t>
  </si>
  <si>
    <t xml:space="preserve">% avance planificado</t>
  </si>
  <si>
    <t xml:space="preserve">% avance real (dato)</t>
  </si>
  <si>
    <t xml:space="preserve">AC - Costo real acumulado (dato)</t>
  </si>
  <si>
    <t xml:space="preserve">Egresos planificados del mes</t>
  </si>
  <si>
    <t xml:space="preserve">PV - Valor planificado acum.</t>
  </si>
  <si>
    <t xml:space="preserve">EV - Valor ganado</t>
  </si>
  <si>
    <t xml:space="preserve">CV = EV - AC</t>
  </si>
  <si>
    <t xml:space="preserve">SV = EV - PV</t>
  </si>
  <si>
    <t xml:space="preserve">CPI = EV / AC</t>
  </si>
  <si>
    <t xml:space="preserve">SPI = EV / PV</t>
  </si>
  <si>
    <t xml:space="preserve">EAC = BAC / CPI</t>
  </si>
  <si>
    <t xml:space="preserve">ETC = EAC - AC</t>
  </si>
  <si>
    <t xml:space="preserve">VAC = BAC - EAC</t>
  </si>
  <si>
    <t xml:space="preserve">TCPI</t>
  </si>
  <si>
    <t xml:space="preserve">Resumen al mes de corte</t>
  </si>
  <si>
    <t xml:space="preserve">PV - Valor planificado</t>
  </si>
  <si>
    <t xml:space="preserve">Lo que debias haber gastado/avanzado segun el plan</t>
  </si>
  <si>
    <t xml:space="preserve">Valor del trabajo realmente completado</t>
  </si>
  <si>
    <t xml:space="preserve">AC - Costo real</t>
  </si>
  <si>
    <t xml:space="preserve">Lo que realmente gastaste</t>
  </si>
  <si>
    <t xml:space="preserve">CV - Variacion de costo</t>
  </si>
  <si>
    <t xml:space="preserve">&gt; 0 ahorro; &lt; 0 sobrecosto</t>
  </si>
  <si>
    <t xml:space="preserve">SV - Variacion de cronograma</t>
  </si>
  <si>
    <t xml:space="preserve">&gt; 0 adelantado; &lt; 0 atrasado</t>
  </si>
  <si>
    <t xml:space="preserve">CPI - Indice de desempeno de costo</t>
  </si>
  <si>
    <t xml:space="preserve">&gt;= 1 eficiente en costos</t>
  </si>
  <si>
    <t xml:space="preserve">SPI - Indice de desempeno de cronograma</t>
  </si>
  <si>
    <t xml:space="preserve">&gt;= 1 dentro o adelantado al plan</t>
  </si>
  <si>
    <t xml:space="preserve">EAC - Estimacion al terminar</t>
  </si>
  <si>
    <t xml:space="preserve">Costo final esperado si sigue el CPI actual</t>
  </si>
  <si>
    <t xml:space="preserve">ETC - Estimacion para completar</t>
  </si>
  <si>
    <t xml:space="preserve">Lo que falta por gastar</t>
  </si>
  <si>
    <t xml:space="preserve">VAC - Variacion al terminar</t>
  </si>
  <si>
    <t xml:space="preserve">&gt; 0 terminara bajo presupuesto</t>
  </si>
  <si>
    <t xml:space="preserve">TCPI - Indice de desempeno por completar</t>
  </si>
  <si>
    <t xml:space="preserve">Eficiencia necesaria para cumplir el BAC</t>
  </si>
  <si>
    <t xml:space="preserve">Estado del costo</t>
  </si>
  <si>
    <t xml:space="preserve">Estado del cronograma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</si>
</sst>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#,##0;\(#,##0\);\-"/>
    <numFmt numFmtId="167" formatCode="0.0%;\(0.0%\);\-"/>
    <numFmt numFmtId="168" formatCode="\$#,##0;&quot;($&quot;#,##0\);\-"/>
    <numFmt numFmtId="169" formatCode="0.000%"/>
    <numFmt numFmtId="170" formatCode="0"/>
    <numFmt numFmtId="171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B6E4F"/>
        <bgColor rgb="FF008080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E4F"/>
      <rgbColor rgb="FFBFBFBF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Flujo de caja acumulado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'Flujo de Caja'!A18</c:f>
              <c:strCache>
                <c:ptCount val="1"/>
                <c:pt idx="0">
                  <c:v>Flujo de caja acumulado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'Flujo de Caja'!$B$3:$Z$3</c:f>
              <c:strCache>
                <c:ptCount val="25"/>
                <c:pt idx="0">
                  <c:v>Mes 0</c:v>
                </c:pt>
                <c:pt idx="1">
                  <c:v>Mes 1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  <c:pt idx="15">
                  <c:v>Mes 15</c:v>
                </c:pt>
                <c:pt idx="16">
                  <c:v>Mes 16</c:v>
                </c:pt>
                <c:pt idx="17">
                  <c:v>Mes 17</c:v>
                </c:pt>
                <c:pt idx="18">
                  <c:v>Mes 18</c:v>
                </c:pt>
                <c:pt idx="19">
                  <c:v>Mes 19</c:v>
                </c:pt>
                <c:pt idx="20">
                  <c:v>Mes 20</c:v>
                </c:pt>
                <c:pt idx="21">
                  <c:v>Mes 21</c:v>
                </c:pt>
                <c:pt idx="22">
                  <c:v>Mes 22</c:v>
                </c:pt>
                <c:pt idx="23">
                  <c:v>Mes 23</c:v>
                </c:pt>
                <c:pt idx="24">
                  <c:v>Mes 24</c:v>
                </c:pt>
              </c:strCache>
            </c:strRef>
          </c:cat>
          <c:val>
            <c:numRef>
              <c:f>'Flujo de Caja'!$B$18:$Z$18</c:f>
              <c:numCache>
                <c:formatCode>\$#,##0;"($"#,##0\);\-</c:formatCode>
                <c:ptCount val="25"/>
                <c:pt idx="0">
                  <c:v>-2200</c:v>
                </c:pt>
                <c:pt idx="1">
                  <c:v>-3205</c:v>
                </c:pt>
                <c:pt idx="2">
                  <c:v>-4081.75</c:v>
                </c:pt>
                <c:pt idx="3">
                  <c:v>-4816</c:v>
                </c:pt>
                <c:pt idx="4">
                  <c:v>-5379.25</c:v>
                </c:pt>
                <c:pt idx="5">
                  <c:v>-5743</c:v>
                </c:pt>
                <c:pt idx="6">
                  <c:v>-5878.75</c:v>
                </c:pt>
                <c:pt idx="7">
                  <c:v>-5758</c:v>
                </c:pt>
                <c:pt idx="8">
                  <c:v>-5338</c:v>
                </c:pt>
                <c:pt idx="9">
                  <c:v>-4576</c:v>
                </c:pt>
                <c:pt idx="10">
                  <c:v>-3586</c:v>
                </c:pt>
                <c:pt idx="11">
                  <c:v>-2596</c:v>
                </c:pt>
                <c:pt idx="12">
                  <c:v>-1606</c:v>
                </c:pt>
                <c:pt idx="13">
                  <c:v>-616</c:v>
                </c:pt>
                <c:pt idx="14">
                  <c:v>374</c:v>
                </c:pt>
                <c:pt idx="15">
                  <c:v>1364</c:v>
                </c:pt>
                <c:pt idx="16">
                  <c:v>2354</c:v>
                </c:pt>
                <c:pt idx="17">
                  <c:v>3344</c:v>
                </c:pt>
                <c:pt idx="18">
                  <c:v>4334</c:v>
                </c:pt>
                <c:pt idx="19">
                  <c:v>5324</c:v>
                </c:pt>
                <c:pt idx="20">
                  <c:v>6314</c:v>
                </c:pt>
                <c:pt idx="21">
                  <c:v>7304</c:v>
                </c:pt>
                <c:pt idx="22">
                  <c:v>8294</c:v>
                </c:pt>
                <c:pt idx="23">
                  <c:v>9284</c:v>
                </c:pt>
                <c:pt idx="24">
                  <c:v>10274</c:v>
                </c:pt>
              </c:numCache>
            </c:numRef>
          </c:val>
        </c:ser>
        <c:gapWidth val="150"/>
        <c:overlap val="0"/>
        <c:axId val="78254178"/>
        <c:axId val="54142729"/>
      </c:barChart>
      <c:catAx>
        <c:axId val="782541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42729"/>
        <c:crosses val="autoZero"/>
        <c:auto val="1"/>
        <c:lblAlgn val="ctr"/>
        <c:lblOffset val="100"/>
        <c:noMultiLvlLbl val="0"/>
      </c:catAx>
      <c:valAx>
        <c:axId val="541427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541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8</xdr:col>
      <xdr:colOff>469800</xdr:colOff>
      <xdr:row>36</xdr:row>
      <xdr:rowOff>21960</xdr:rowOff>
    </xdr:to>
    <xdr:graphicFrame>
      <xdr:nvGraphicFramePr>
        <xdr:cNvPr id="0" name="Chart 1"/>
        <xdr:cNvGraphicFramePr/>
      </xdr:nvGraphicFramePr>
      <xdr:xfrm>
        <a:off x="0" y="4114800"/>
        <a:ext cx="93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24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s">
        <v>5</v>
      </c>
      <c r="B4" s="5" t="n">
        <v>15</v>
      </c>
      <c r="C4" s="2" t="s">
        <v>6</v>
      </c>
    </row>
    <row r="5" customFormat="false" ht="15" hidden="false" customHeight="false" outlineLevel="0" collapsed="false">
      <c r="A5" s="4" t="s">
        <v>7</v>
      </c>
      <c r="B5" s="6" t="n">
        <v>60</v>
      </c>
      <c r="C5" s="2" t="s">
        <v>8</v>
      </c>
    </row>
    <row r="6" customFormat="false" ht="15" hidden="false" customHeight="false" outlineLevel="0" collapsed="false">
      <c r="A6" s="4" t="s">
        <v>9</v>
      </c>
      <c r="B6" s="7" t="n">
        <v>0.15</v>
      </c>
      <c r="C6" s="2" t="s">
        <v>10</v>
      </c>
    </row>
    <row r="7" customFormat="false" ht="15" hidden="false" customHeight="false" outlineLevel="0" collapsed="false">
      <c r="A7" s="4" t="s">
        <v>11</v>
      </c>
      <c r="B7" s="6" t="n">
        <v>50</v>
      </c>
      <c r="C7" s="2" t="s">
        <v>12</v>
      </c>
    </row>
    <row r="8" customFormat="false" ht="15" hidden="false" customHeight="false" outlineLevel="0" collapsed="false">
      <c r="A8" s="4" t="s">
        <v>13</v>
      </c>
      <c r="B8" s="6" t="n">
        <v>4</v>
      </c>
      <c r="C8" s="2" t="s">
        <v>6</v>
      </c>
    </row>
    <row r="9" customFormat="false" ht="15" hidden="false" customHeight="false" outlineLevel="0" collapsed="false">
      <c r="A9" s="4" t="s">
        <v>14</v>
      </c>
      <c r="B9" s="5" t="n">
        <v>20</v>
      </c>
      <c r="C9" s="2" t="s">
        <v>15</v>
      </c>
    </row>
    <row r="10" customFormat="false" ht="15" hidden="false" customHeight="false" outlineLevel="0" collapsed="false">
      <c r="A10" s="4" t="s">
        <v>16</v>
      </c>
      <c r="B10" s="6" t="n">
        <v>20</v>
      </c>
      <c r="C10" s="2" t="s">
        <v>17</v>
      </c>
    </row>
    <row r="11" customFormat="false" ht="15" hidden="false" customHeight="false" outlineLevel="0" collapsed="false">
      <c r="A11" s="4" t="s">
        <v>18</v>
      </c>
      <c r="B11" s="7" t="n">
        <v>0.05</v>
      </c>
      <c r="C11" s="2" t="s">
        <v>19</v>
      </c>
    </row>
    <row r="12" customFormat="false" ht="15" hidden="false" customHeight="false" outlineLevel="0" collapsed="false">
      <c r="A12" s="4" t="s">
        <v>20</v>
      </c>
      <c r="B12" s="8" t="n">
        <v>60</v>
      </c>
      <c r="C12" s="2" t="s">
        <v>21</v>
      </c>
    </row>
    <row r="13" customFormat="false" ht="15" hidden="false" customHeight="false" outlineLevel="0" collapsed="false">
      <c r="A13" s="4" t="s">
        <v>22</v>
      </c>
      <c r="B13" s="8" t="n">
        <v>150</v>
      </c>
      <c r="C13" s="2" t="s">
        <v>23</v>
      </c>
    </row>
    <row r="14" customFormat="false" ht="15" hidden="false" customHeight="false" outlineLevel="0" collapsed="false">
      <c r="A14" s="4" t="s">
        <v>24</v>
      </c>
      <c r="B14" s="8" t="n">
        <v>50</v>
      </c>
      <c r="C14" s="2" t="s">
        <v>25</v>
      </c>
    </row>
    <row r="15" customFormat="false" ht="15" hidden="false" customHeight="false" outlineLevel="0" collapsed="false">
      <c r="A15" s="4" t="s">
        <v>26</v>
      </c>
      <c r="B15" s="7" t="n">
        <v>0</v>
      </c>
      <c r="C15" s="2" t="s">
        <v>27</v>
      </c>
    </row>
    <row r="16" customFormat="false" ht="15" hidden="false" customHeight="false" outlineLevel="0" collapsed="false">
      <c r="A16" s="4" t="s">
        <v>28</v>
      </c>
      <c r="B16" s="7" t="n">
        <v>0.12</v>
      </c>
      <c r="C16" s="2" t="s">
        <v>29</v>
      </c>
    </row>
    <row r="18" customFormat="false" ht="15" hidden="false" customHeight="false" outlineLevel="0" collapsed="false">
      <c r="A18" s="9" t="s">
        <v>30</v>
      </c>
    </row>
    <row r="19" customFormat="false" ht="15" hidden="false" customHeight="false" outlineLevel="0" collapsed="false">
      <c r="A19" s="4" t="s">
        <v>31</v>
      </c>
      <c r="B19" s="10" t="n">
        <f aca="false">(1+B16)^(1/12)-1</f>
        <v>0.00948879293458305</v>
      </c>
      <c r="C19" s="2" t="s">
        <v>32</v>
      </c>
    </row>
    <row r="20" customFormat="false" ht="15" hidden="false" customHeight="false" outlineLevel="0" collapsed="false">
      <c r="A20" s="4" t="s">
        <v>33</v>
      </c>
      <c r="B20" s="11" t="n">
        <f aca="false">B7*B8</f>
        <v>200</v>
      </c>
      <c r="C20" s="2" t="s">
        <v>34</v>
      </c>
    </row>
    <row r="21" customFormat="false" ht="15" hidden="false" customHeight="false" outlineLevel="0" collapsed="false">
      <c r="A21" s="4" t="s">
        <v>35</v>
      </c>
      <c r="B21" s="12" t="n">
        <f aca="false">B8*B9*B10</f>
        <v>1600</v>
      </c>
      <c r="C21" s="2" t="s">
        <v>36</v>
      </c>
    </row>
    <row r="22" customFormat="false" ht="15" hidden="false" customHeight="false" outlineLevel="0" collapsed="false">
      <c r="A22" s="4" t="s">
        <v>37</v>
      </c>
      <c r="B22" s="12" t="n">
        <f aca="false">B21+B12+B13+B14</f>
        <v>1860</v>
      </c>
      <c r="C22" s="2" t="s">
        <v>38</v>
      </c>
    </row>
    <row r="23" customFormat="false" ht="15" hidden="false" customHeight="false" outlineLevel="0" collapsed="false">
      <c r="A23" s="4" t="s">
        <v>39</v>
      </c>
      <c r="B23" s="13" t="n">
        <f aca="false">B4*(1-B11)</f>
        <v>14.25</v>
      </c>
      <c r="C23" s="2" t="s">
        <v>40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24" hidden="false" customHeight="true" outlineLevel="0" collapsed="false">
      <c r="A1" s="1" t="s">
        <v>41</v>
      </c>
      <c r="B1" s="1"/>
      <c r="C1" s="1"/>
    </row>
    <row r="2" customFormat="false" ht="15" hidden="false" customHeight="false" outlineLevel="0" collapsed="false">
      <c r="A2" s="2" t="s">
        <v>42</v>
      </c>
    </row>
    <row r="3" customFormat="false" ht="15" hidden="false" customHeight="false" outlineLevel="0" collapsed="false">
      <c r="A3" s="3" t="s">
        <v>43</v>
      </c>
      <c r="B3" s="3" t="s">
        <v>44</v>
      </c>
      <c r="C3" s="3" t="s">
        <v>45</v>
      </c>
    </row>
    <row r="4" customFormat="false" ht="15" hidden="false" customHeight="false" outlineLevel="0" collapsed="false">
      <c r="A4" s="4" t="s">
        <v>46</v>
      </c>
      <c r="B4" s="8" t="n">
        <v>300</v>
      </c>
      <c r="C4" s="2" t="s">
        <v>2</v>
      </c>
    </row>
    <row r="5" customFormat="false" ht="15" hidden="false" customHeight="false" outlineLevel="0" collapsed="false">
      <c r="A5" s="4" t="s">
        <v>47</v>
      </c>
      <c r="B5" s="8" t="n">
        <v>400</v>
      </c>
      <c r="C5" s="2" t="s">
        <v>2</v>
      </c>
    </row>
    <row r="6" customFormat="false" ht="15" hidden="false" customHeight="false" outlineLevel="0" collapsed="false">
      <c r="A6" s="4" t="s">
        <v>48</v>
      </c>
      <c r="B6" s="8" t="n">
        <v>150</v>
      </c>
      <c r="C6" s="2" t="s">
        <v>2</v>
      </c>
    </row>
    <row r="7" customFormat="false" ht="15" hidden="false" customHeight="false" outlineLevel="0" collapsed="false">
      <c r="A7" s="4" t="s">
        <v>49</v>
      </c>
      <c r="B7" s="8" t="n">
        <v>450</v>
      </c>
      <c r="C7" s="2" t="s">
        <v>2</v>
      </c>
    </row>
    <row r="8" customFormat="false" ht="15" hidden="false" customHeight="false" outlineLevel="0" collapsed="false">
      <c r="A8" s="4" t="s">
        <v>50</v>
      </c>
      <c r="B8" s="8" t="n">
        <v>200</v>
      </c>
      <c r="C8" s="2" t="s">
        <v>2</v>
      </c>
    </row>
    <row r="9" customFormat="false" ht="15" hidden="false" customHeight="false" outlineLevel="0" collapsed="false">
      <c r="A9" s="4" t="s">
        <v>51</v>
      </c>
      <c r="B9" s="8" t="n">
        <v>500</v>
      </c>
      <c r="C9" s="2" t="s">
        <v>2</v>
      </c>
    </row>
    <row r="10" customFormat="false" ht="15" hidden="false" customHeight="false" outlineLevel="0" collapsed="false">
      <c r="A10" s="14" t="s">
        <v>52</v>
      </c>
      <c r="B10" s="15" t="n">
        <f aca="false">SUM(B4:B9)</f>
        <v>2000</v>
      </c>
    </row>
    <row r="11" customFormat="false" ht="15" hidden="false" customHeight="false" outlineLevel="0" collapsed="false">
      <c r="A11" s="16" t="s">
        <v>53</v>
      </c>
      <c r="B11" s="7" t="n">
        <v>0.1</v>
      </c>
      <c r="C11" s="2" t="s">
        <v>54</v>
      </c>
    </row>
    <row r="12" customFormat="false" ht="15" hidden="false" customHeight="false" outlineLevel="0" collapsed="false">
      <c r="A12" s="16" t="s">
        <v>55</v>
      </c>
      <c r="B12" s="12" t="n">
        <f aca="false">B10*B11</f>
        <v>200</v>
      </c>
    </row>
    <row r="13" customFormat="false" ht="15" hidden="false" customHeight="false" outlineLevel="0" collapsed="false">
      <c r="A13" s="14" t="s">
        <v>56</v>
      </c>
      <c r="B13" s="17" t="n">
        <f aca="false">B10+B12</f>
        <v>2200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6" min="2" style="0" width="10"/>
  </cols>
  <sheetData>
    <row r="1" customFormat="false" ht="24" hidden="false" customHeight="true" outlineLevel="0" collapsed="false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customFormat="false" ht="15" hidden="false" customHeight="false" outlineLevel="0" collapsed="false">
      <c r="A3" s="3" t="s">
        <v>43</v>
      </c>
      <c r="B3" s="3" t="s">
        <v>58</v>
      </c>
      <c r="C3" s="3" t="s">
        <v>59</v>
      </c>
      <c r="D3" s="3" t="s">
        <v>60</v>
      </c>
      <c r="E3" s="3" t="s">
        <v>61</v>
      </c>
      <c r="F3" s="3" t="s">
        <v>62</v>
      </c>
      <c r="G3" s="3" t="s">
        <v>63</v>
      </c>
      <c r="H3" s="3" t="s">
        <v>64</v>
      </c>
      <c r="I3" s="3" t="s">
        <v>65</v>
      </c>
      <c r="J3" s="3" t="s">
        <v>66</v>
      </c>
      <c r="K3" s="3" t="s">
        <v>67</v>
      </c>
      <c r="L3" s="3" t="s">
        <v>68</v>
      </c>
      <c r="M3" s="3" t="s">
        <v>69</v>
      </c>
      <c r="N3" s="3" t="s">
        <v>70</v>
      </c>
      <c r="O3" s="3" t="s">
        <v>71</v>
      </c>
      <c r="P3" s="3" t="s">
        <v>72</v>
      </c>
      <c r="Q3" s="3" t="s">
        <v>73</v>
      </c>
      <c r="R3" s="3" t="s">
        <v>74</v>
      </c>
      <c r="S3" s="3" t="s">
        <v>75</v>
      </c>
      <c r="T3" s="3" t="s">
        <v>76</v>
      </c>
      <c r="U3" s="3" t="s">
        <v>77</v>
      </c>
      <c r="V3" s="3" t="s">
        <v>78</v>
      </c>
      <c r="W3" s="3" t="s">
        <v>79</v>
      </c>
      <c r="X3" s="3" t="s">
        <v>80</v>
      </c>
      <c r="Y3" s="3" t="s">
        <v>81</v>
      </c>
      <c r="Z3" s="3" t="s">
        <v>82</v>
      </c>
    </row>
    <row r="4" customFormat="false" ht="15" hidden="false" customHeight="false" outlineLevel="0" collapsed="false">
      <c r="A4" s="4" t="s">
        <v>83</v>
      </c>
      <c r="B4" s="11" t="n">
        <v>0</v>
      </c>
      <c r="C4" s="18" t="n">
        <f aca="false">MIN(Supuestos!$B$20,Supuestos!$B$5)</f>
        <v>60</v>
      </c>
      <c r="D4" s="18" t="n">
        <f aca="false">MIN(Supuestos!$B$20,ROUND(C4*(1+Supuestos!$B$6),0))</f>
        <v>69</v>
      </c>
      <c r="E4" s="18" t="n">
        <f aca="false">MIN(Supuestos!$B$20,ROUND(D4*(1+Supuestos!$B$6),0))</f>
        <v>79</v>
      </c>
      <c r="F4" s="18" t="n">
        <f aca="false">MIN(Supuestos!$B$20,ROUND(E4*(1+Supuestos!$B$6),0))</f>
        <v>91</v>
      </c>
      <c r="G4" s="18" t="n">
        <f aca="false">MIN(Supuestos!$B$20,ROUND(F4*(1+Supuestos!$B$6),0))</f>
        <v>105</v>
      </c>
      <c r="H4" s="18" t="n">
        <f aca="false">MIN(Supuestos!$B$20,ROUND(G4*(1+Supuestos!$B$6),0))</f>
        <v>121</v>
      </c>
      <c r="I4" s="18" t="n">
        <f aca="false">MIN(Supuestos!$B$20,ROUND(H4*(1+Supuestos!$B$6),0))</f>
        <v>139</v>
      </c>
      <c r="J4" s="18" t="n">
        <f aca="false">MIN(Supuestos!$B$20,ROUND(I4*(1+Supuestos!$B$6),0))</f>
        <v>160</v>
      </c>
      <c r="K4" s="18" t="n">
        <f aca="false">MIN(Supuestos!$B$20,ROUND(J4*(1+Supuestos!$B$6),0))</f>
        <v>184</v>
      </c>
      <c r="L4" s="18" t="n">
        <f aca="false">MIN(Supuestos!$B$20,ROUND(K4*(1+Supuestos!$B$6),0))</f>
        <v>200</v>
      </c>
      <c r="M4" s="18" t="n">
        <f aca="false">MIN(Supuestos!$B$20,ROUND(L4*(1+Supuestos!$B$6),0))</f>
        <v>200</v>
      </c>
      <c r="N4" s="18" t="n">
        <f aca="false">MIN(Supuestos!$B$20,ROUND(M4*(1+Supuestos!$B$6),0))</f>
        <v>200</v>
      </c>
      <c r="O4" s="18" t="n">
        <f aca="false">MIN(Supuestos!$B$20,ROUND(N4*(1+Supuestos!$B$6),0))</f>
        <v>200</v>
      </c>
      <c r="P4" s="18" t="n">
        <f aca="false">MIN(Supuestos!$B$20,ROUND(O4*(1+Supuestos!$B$6),0))</f>
        <v>200</v>
      </c>
      <c r="Q4" s="18" t="n">
        <f aca="false">MIN(Supuestos!$B$20,ROUND(P4*(1+Supuestos!$B$6),0))</f>
        <v>200</v>
      </c>
      <c r="R4" s="18" t="n">
        <f aca="false">MIN(Supuestos!$B$20,ROUND(Q4*(1+Supuestos!$B$6),0))</f>
        <v>200</v>
      </c>
      <c r="S4" s="18" t="n">
        <f aca="false">MIN(Supuestos!$B$20,ROUND(R4*(1+Supuestos!$B$6),0))</f>
        <v>200</v>
      </c>
      <c r="T4" s="18" t="n">
        <f aca="false">MIN(Supuestos!$B$20,ROUND(S4*(1+Supuestos!$B$6),0))</f>
        <v>200</v>
      </c>
      <c r="U4" s="18" t="n">
        <f aca="false">MIN(Supuestos!$B$20,ROUND(T4*(1+Supuestos!$B$6),0))</f>
        <v>200</v>
      </c>
      <c r="V4" s="18" t="n">
        <f aca="false">MIN(Supuestos!$B$20,ROUND(U4*(1+Supuestos!$B$6),0))</f>
        <v>200</v>
      </c>
      <c r="W4" s="18" t="n">
        <f aca="false">MIN(Supuestos!$B$20,ROUND(V4*(1+Supuestos!$B$6),0))</f>
        <v>200</v>
      </c>
      <c r="X4" s="18" t="n">
        <f aca="false">MIN(Supuestos!$B$20,ROUND(W4*(1+Supuestos!$B$6),0))</f>
        <v>200</v>
      </c>
      <c r="Y4" s="18" t="n">
        <f aca="false">MIN(Supuestos!$B$20,ROUND(X4*(1+Supuestos!$B$6),0))</f>
        <v>200</v>
      </c>
      <c r="Z4" s="18" t="n">
        <f aca="false">MIN(Supuestos!$B$20,ROUND(Y4*(1+Supuestos!$B$6),0))</f>
        <v>200</v>
      </c>
    </row>
    <row r="5" customFormat="false" ht="15" hidden="false" customHeight="false" outlineLevel="0" collapsed="false">
      <c r="A5" s="4" t="s">
        <v>84</v>
      </c>
      <c r="B5" s="12" t="n">
        <v>0</v>
      </c>
      <c r="C5" s="19" t="n">
        <f aca="false">C4*Supuestos!$B$4</f>
        <v>900</v>
      </c>
      <c r="D5" s="19" t="n">
        <f aca="false">D4*Supuestos!$B$4</f>
        <v>1035</v>
      </c>
      <c r="E5" s="19" t="n">
        <f aca="false">E4*Supuestos!$B$4</f>
        <v>1185</v>
      </c>
      <c r="F5" s="19" t="n">
        <f aca="false">F4*Supuestos!$B$4</f>
        <v>1365</v>
      </c>
      <c r="G5" s="19" t="n">
        <f aca="false">G4*Supuestos!$B$4</f>
        <v>1575</v>
      </c>
      <c r="H5" s="19" t="n">
        <f aca="false">H4*Supuestos!$B$4</f>
        <v>1815</v>
      </c>
      <c r="I5" s="19" t="n">
        <f aca="false">I4*Supuestos!$B$4</f>
        <v>2085</v>
      </c>
      <c r="J5" s="19" t="n">
        <f aca="false">J4*Supuestos!$B$4</f>
        <v>2400</v>
      </c>
      <c r="K5" s="19" t="n">
        <f aca="false">K4*Supuestos!$B$4</f>
        <v>2760</v>
      </c>
      <c r="L5" s="19" t="n">
        <f aca="false">L4*Supuestos!$B$4</f>
        <v>3000</v>
      </c>
      <c r="M5" s="19" t="n">
        <f aca="false">M4*Supuestos!$B$4</f>
        <v>3000</v>
      </c>
      <c r="N5" s="19" t="n">
        <f aca="false">N4*Supuestos!$B$4</f>
        <v>3000</v>
      </c>
      <c r="O5" s="19" t="n">
        <f aca="false">O4*Supuestos!$B$4</f>
        <v>3000</v>
      </c>
      <c r="P5" s="19" t="n">
        <f aca="false">P4*Supuestos!$B$4</f>
        <v>3000</v>
      </c>
      <c r="Q5" s="19" t="n">
        <f aca="false">Q4*Supuestos!$B$4</f>
        <v>3000</v>
      </c>
      <c r="R5" s="19" t="n">
        <f aca="false">R4*Supuestos!$B$4</f>
        <v>3000</v>
      </c>
      <c r="S5" s="19" t="n">
        <f aca="false">S4*Supuestos!$B$4</f>
        <v>3000</v>
      </c>
      <c r="T5" s="19" t="n">
        <f aca="false">T4*Supuestos!$B$4</f>
        <v>3000</v>
      </c>
      <c r="U5" s="19" t="n">
        <f aca="false">U4*Supuestos!$B$4</f>
        <v>3000</v>
      </c>
      <c r="V5" s="19" t="n">
        <f aca="false">V4*Supuestos!$B$4</f>
        <v>3000</v>
      </c>
      <c r="W5" s="19" t="n">
        <f aca="false">W4*Supuestos!$B$4</f>
        <v>3000</v>
      </c>
      <c r="X5" s="19" t="n">
        <f aca="false">X4*Supuestos!$B$4</f>
        <v>3000</v>
      </c>
      <c r="Y5" s="19" t="n">
        <f aca="false">Y4*Supuestos!$B$4</f>
        <v>3000</v>
      </c>
      <c r="Z5" s="19" t="n">
        <f aca="false">Z4*Supuestos!$B$4</f>
        <v>3000</v>
      </c>
    </row>
    <row r="6" customFormat="false" ht="15" hidden="false" customHeight="false" outlineLevel="0" collapsed="false">
      <c r="A6" s="4" t="s">
        <v>85</v>
      </c>
      <c r="B6" s="12" t="n">
        <v>0</v>
      </c>
      <c r="C6" s="19" t="n">
        <f aca="false">-C5*Supuestos!$B$11</f>
        <v>-45</v>
      </c>
      <c r="D6" s="19" t="n">
        <f aca="false">-D5*Supuestos!$B$11</f>
        <v>-51.75</v>
      </c>
      <c r="E6" s="19" t="n">
        <f aca="false">-E5*Supuestos!$B$11</f>
        <v>-59.25</v>
      </c>
      <c r="F6" s="19" t="n">
        <f aca="false">-F5*Supuestos!$B$11</f>
        <v>-68.25</v>
      </c>
      <c r="G6" s="19" t="n">
        <f aca="false">-G5*Supuestos!$B$11</f>
        <v>-78.75</v>
      </c>
      <c r="H6" s="19" t="n">
        <f aca="false">-H5*Supuestos!$B$11</f>
        <v>-90.75</v>
      </c>
      <c r="I6" s="19" t="n">
        <f aca="false">-I5*Supuestos!$B$11</f>
        <v>-104.25</v>
      </c>
      <c r="J6" s="19" t="n">
        <f aca="false">-J5*Supuestos!$B$11</f>
        <v>-120</v>
      </c>
      <c r="K6" s="19" t="n">
        <f aca="false">-K5*Supuestos!$B$11</f>
        <v>-138</v>
      </c>
      <c r="L6" s="19" t="n">
        <f aca="false">-L5*Supuestos!$B$11</f>
        <v>-150</v>
      </c>
      <c r="M6" s="19" t="n">
        <f aca="false">-M5*Supuestos!$B$11</f>
        <v>-150</v>
      </c>
      <c r="N6" s="19" t="n">
        <f aca="false">-N5*Supuestos!$B$11</f>
        <v>-150</v>
      </c>
      <c r="O6" s="19" t="n">
        <f aca="false">-O5*Supuestos!$B$11</f>
        <v>-150</v>
      </c>
      <c r="P6" s="19" t="n">
        <f aca="false">-P5*Supuestos!$B$11</f>
        <v>-150</v>
      </c>
      <c r="Q6" s="19" t="n">
        <f aca="false">-Q5*Supuestos!$B$11</f>
        <v>-150</v>
      </c>
      <c r="R6" s="19" t="n">
        <f aca="false">-R5*Supuestos!$B$11</f>
        <v>-150</v>
      </c>
      <c r="S6" s="19" t="n">
        <f aca="false">-S5*Supuestos!$B$11</f>
        <v>-150</v>
      </c>
      <c r="T6" s="19" t="n">
        <f aca="false">-T5*Supuestos!$B$11</f>
        <v>-150</v>
      </c>
      <c r="U6" s="19" t="n">
        <f aca="false">-U5*Supuestos!$B$11</f>
        <v>-150</v>
      </c>
      <c r="V6" s="19" t="n">
        <f aca="false">-V5*Supuestos!$B$11</f>
        <v>-150</v>
      </c>
      <c r="W6" s="19" t="n">
        <f aca="false">-W5*Supuestos!$B$11</f>
        <v>-150</v>
      </c>
      <c r="X6" s="19" t="n">
        <f aca="false">-X5*Supuestos!$B$11</f>
        <v>-150</v>
      </c>
      <c r="Y6" s="19" t="n">
        <f aca="false">-Y5*Supuestos!$B$11</f>
        <v>-150</v>
      </c>
      <c r="Z6" s="19" t="n">
        <f aca="false">-Z5*Supuestos!$B$11</f>
        <v>-150</v>
      </c>
    </row>
    <row r="7" customFormat="false" ht="15" hidden="false" customHeight="false" outlineLevel="0" collapsed="false">
      <c r="A7" s="20" t="s">
        <v>86</v>
      </c>
      <c r="B7" s="12" t="n">
        <v>0</v>
      </c>
      <c r="C7" s="12" t="n">
        <f aca="false">C5+C6</f>
        <v>855</v>
      </c>
      <c r="D7" s="12" t="n">
        <f aca="false">D5+D6</f>
        <v>983.25</v>
      </c>
      <c r="E7" s="12" t="n">
        <f aca="false">E5+E6</f>
        <v>1125.75</v>
      </c>
      <c r="F7" s="12" t="n">
        <f aca="false">F5+F6</f>
        <v>1296.75</v>
      </c>
      <c r="G7" s="12" t="n">
        <f aca="false">G5+G6</f>
        <v>1496.25</v>
      </c>
      <c r="H7" s="12" t="n">
        <f aca="false">H5+H6</f>
        <v>1724.25</v>
      </c>
      <c r="I7" s="12" t="n">
        <f aca="false">I5+I6</f>
        <v>1980.75</v>
      </c>
      <c r="J7" s="12" t="n">
        <f aca="false">J5+J6</f>
        <v>2280</v>
      </c>
      <c r="K7" s="12" t="n">
        <f aca="false">K5+K6</f>
        <v>2622</v>
      </c>
      <c r="L7" s="12" t="n">
        <f aca="false">L5+L6</f>
        <v>2850</v>
      </c>
      <c r="M7" s="12" t="n">
        <f aca="false">M5+M6</f>
        <v>2850</v>
      </c>
      <c r="N7" s="12" t="n">
        <f aca="false">N5+N6</f>
        <v>2850</v>
      </c>
      <c r="O7" s="12" t="n">
        <f aca="false">O5+O6</f>
        <v>2850</v>
      </c>
      <c r="P7" s="12" t="n">
        <f aca="false">P5+P6</f>
        <v>2850</v>
      </c>
      <c r="Q7" s="12" t="n">
        <f aca="false">Q5+Q6</f>
        <v>2850</v>
      </c>
      <c r="R7" s="12" t="n">
        <f aca="false">R5+R6</f>
        <v>2850</v>
      </c>
      <c r="S7" s="12" t="n">
        <f aca="false">S5+S6</f>
        <v>2850</v>
      </c>
      <c r="T7" s="12" t="n">
        <f aca="false">T5+T6</f>
        <v>2850</v>
      </c>
      <c r="U7" s="12" t="n">
        <f aca="false">U5+U6</f>
        <v>2850</v>
      </c>
      <c r="V7" s="12" t="n">
        <f aca="false">V5+V6</f>
        <v>2850</v>
      </c>
      <c r="W7" s="12" t="n">
        <f aca="false">W5+W6</f>
        <v>2850</v>
      </c>
      <c r="X7" s="12" t="n">
        <f aca="false">X5+X6</f>
        <v>2850</v>
      </c>
      <c r="Y7" s="12" t="n">
        <f aca="false">Y5+Y6</f>
        <v>2850</v>
      </c>
      <c r="Z7" s="12" t="n">
        <f aca="false">Z5+Z6</f>
        <v>2850</v>
      </c>
    </row>
    <row r="8" customFormat="false" ht="15" hidden="false" customHeight="false" outlineLevel="0" collapsed="false">
      <c r="A8" s="4" t="s">
        <v>87</v>
      </c>
      <c r="B8" s="12" t="n">
        <v>0</v>
      </c>
      <c r="C8" s="19" t="n">
        <f aca="false">-Supuestos!$B$21</f>
        <v>-1600</v>
      </c>
      <c r="D8" s="19" t="n">
        <f aca="false">-Supuestos!$B$21</f>
        <v>-1600</v>
      </c>
      <c r="E8" s="19" t="n">
        <f aca="false">-Supuestos!$B$21</f>
        <v>-1600</v>
      </c>
      <c r="F8" s="19" t="n">
        <f aca="false">-Supuestos!$B$21</f>
        <v>-1600</v>
      </c>
      <c r="G8" s="19" t="n">
        <f aca="false">-Supuestos!$B$21</f>
        <v>-1600</v>
      </c>
      <c r="H8" s="19" t="n">
        <f aca="false">-Supuestos!$B$21</f>
        <v>-1600</v>
      </c>
      <c r="I8" s="19" t="n">
        <f aca="false">-Supuestos!$B$21</f>
        <v>-1600</v>
      </c>
      <c r="J8" s="19" t="n">
        <f aca="false">-Supuestos!$B$21</f>
        <v>-1600</v>
      </c>
      <c r="K8" s="19" t="n">
        <f aca="false">-Supuestos!$B$21</f>
        <v>-1600</v>
      </c>
      <c r="L8" s="19" t="n">
        <f aca="false">-Supuestos!$B$21</f>
        <v>-1600</v>
      </c>
      <c r="M8" s="19" t="n">
        <f aca="false">-Supuestos!$B$21</f>
        <v>-1600</v>
      </c>
      <c r="N8" s="19" t="n">
        <f aca="false">-Supuestos!$B$21</f>
        <v>-1600</v>
      </c>
      <c r="O8" s="19" t="n">
        <f aca="false">-Supuestos!$B$21</f>
        <v>-1600</v>
      </c>
      <c r="P8" s="19" t="n">
        <f aca="false">-Supuestos!$B$21</f>
        <v>-1600</v>
      </c>
      <c r="Q8" s="19" t="n">
        <f aca="false">-Supuestos!$B$21</f>
        <v>-1600</v>
      </c>
      <c r="R8" s="19" t="n">
        <f aca="false">-Supuestos!$B$21</f>
        <v>-1600</v>
      </c>
      <c r="S8" s="19" t="n">
        <f aca="false">-Supuestos!$B$21</f>
        <v>-1600</v>
      </c>
      <c r="T8" s="19" t="n">
        <f aca="false">-Supuestos!$B$21</f>
        <v>-1600</v>
      </c>
      <c r="U8" s="19" t="n">
        <f aca="false">-Supuestos!$B$21</f>
        <v>-1600</v>
      </c>
      <c r="V8" s="19" t="n">
        <f aca="false">-Supuestos!$B$21</f>
        <v>-1600</v>
      </c>
      <c r="W8" s="19" t="n">
        <f aca="false">-Supuestos!$B$21</f>
        <v>-1600</v>
      </c>
      <c r="X8" s="19" t="n">
        <f aca="false">-Supuestos!$B$21</f>
        <v>-1600</v>
      </c>
      <c r="Y8" s="19" t="n">
        <f aca="false">-Supuestos!$B$21</f>
        <v>-1600</v>
      </c>
      <c r="Z8" s="19" t="n">
        <f aca="false">-Supuestos!$B$21</f>
        <v>-1600</v>
      </c>
    </row>
    <row r="9" customFormat="false" ht="15" hidden="false" customHeight="false" outlineLevel="0" collapsed="false">
      <c r="A9" s="4" t="s">
        <v>88</v>
      </c>
      <c r="B9" s="12" t="n">
        <v>0</v>
      </c>
      <c r="C9" s="19" t="n">
        <f aca="false">-Supuestos!$B$12</f>
        <v>-60</v>
      </c>
      <c r="D9" s="19" t="n">
        <f aca="false">-Supuestos!$B$12</f>
        <v>-60</v>
      </c>
      <c r="E9" s="19" t="n">
        <f aca="false">-Supuestos!$B$12</f>
        <v>-60</v>
      </c>
      <c r="F9" s="19" t="n">
        <f aca="false">-Supuestos!$B$12</f>
        <v>-60</v>
      </c>
      <c r="G9" s="19" t="n">
        <f aca="false">-Supuestos!$B$12</f>
        <v>-60</v>
      </c>
      <c r="H9" s="19" t="n">
        <f aca="false">-Supuestos!$B$12</f>
        <v>-60</v>
      </c>
      <c r="I9" s="19" t="n">
        <f aca="false">-Supuestos!$B$12</f>
        <v>-60</v>
      </c>
      <c r="J9" s="19" t="n">
        <f aca="false">-Supuestos!$B$12</f>
        <v>-60</v>
      </c>
      <c r="K9" s="19" t="n">
        <f aca="false">-Supuestos!$B$12</f>
        <v>-60</v>
      </c>
      <c r="L9" s="19" t="n">
        <f aca="false">-Supuestos!$B$12</f>
        <v>-60</v>
      </c>
      <c r="M9" s="19" t="n">
        <f aca="false">-Supuestos!$B$12</f>
        <v>-60</v>
      </c>
      <c r="N9" s="19" t="n">
        <f aca="false">-Supuestos!$B$12</f>
        <v>-60</v>
      </c>
      <c r="O9" s="19" t="n">
        <f aca="false">-Supuestos!$B$12</f>
        <v>-60</v>
      </c>
      <c r="P9" s="19" t="n">
        <f aca="false">-Supuestos!$B$12</f>
        <v>-60</v>
      </c>
      <c r="Q9" s="19" t="n">
        <f aca="false">-Supuestos!$B$12</f>
        <v>-60</v>
      </c>
      <c r="R9" s="19" t="n">
        <f aca="false">-Supuestos!$B$12</f>
        <v>-60</v>
      </c>
      <c r="S9" s="19" t="n">
        <f aca="false">-Supuestos!$B$12</f>
        <v>-60</v>
      </c>
      <c r="T9" s="19" t="n">
        <f aca="false">-Supuestos!$B$12</f>
        <v>-60</v>
      </c>
      <c r="U9" s="19" t="n">
        <f aca="false">-Supuestos!$B$12</f>
        <v>-60</v>
      </c>
      <c r="V9" s="19" t="n">
        <f aca="false">-Supuestos!$B$12</f>
        <v>-60</v>
      </c>
      <c r="W9" s="19" t="n">
        <f aca="false">-Supuestos!$B$12</f>
        <v>-60</v>
      </c>
      <c r="X9" s="19" t="n">
        <f aca="false">-Supuestos!$B$12</f>
        <v>-60</v>
      </c>
      <c r="Y9" s="19" t="n">
        <f aca="false">-Supuestos!$B$12</f>
        <v>-60</v>
      </c>
      <c r="Z9" s="19" t="n">
        <f aca="false">-Supuestos!$B$12</f>
        <v>-60</v>
      </c>
    </row>
    <row r="10" customFormat="false" ht="15" hidden="false" customHeight="false" outlineLevel="0" collapsed="false">
      <c r="A10" s="4" t="s">
        <v>89</v>
      </c>
      <c r="B10" s="12" t="n">
        <v>0</v>
      </c>
      <c r="C10" s="19" t="n">
        <f aca="false">-Supuestos!$B$13</f>
        <v>-150</v>
      </c>
      <c r="D10" s="19" t="n">
        <f aca="false">-Supuestos!$B$13</f>
        <v>-150</v>
      </c>
      <c r="E10" s="19" t="n">
        <f aca="false">-Supuestos!$B$13</f>
        <v>-150</v>
      </c>
      <c r="F10" s="19" t="n">
        <f aca="false">-Supuestos!$B$13</f>
        <v>-150</v>
      </c>
      <c r="G10" s="19" t="n">
        <f aca="false">-Supuestos!$B$13</f>
        <v>-150</v>
      </c>
      <c r="H10" s="19" t="n">
        <f aca="false">-Supuestos!$B$13</f>
        <v>-150</v>
      </c>
      <c r="I10" s="19" t="n">
        <f aca="false">-Supuestos!$B$13</f>
        <v>-150</v>
      </c>
      <c r="J10" s="19" t="n">
        <f aca="false">-Supuestos!$B$13</f>
        <v>-150</v>
      </c>
      <c r="K10" s="19" t="n">
        <f aca="false">-Supuestos!$B$13</f>
        <v>-150</v>
      </c>
      <c r="L10" s="19" t="n">
        <f aca="false">-Supuestos!$B$13</f>
        <v>-150</v>
      </c>
      <c r="M10" s="19" t="n">
        <f aca="false">-Supuestos!$B$13</f>
        <v>-150</v>
      </c>
      <c r="N10" s="19" t="n">
        <f aca="false">-Supuestos!$B$13</f>
        <v>-150</v>
      </c>
      <c r="O10" s="19" t="n">
        <f aca="false">-Supuestos!$B$13</f>
        <v>-150</v>
      </c>
      <c r="P10" s="19" t="n">
        <f aca="false">-Supuestos!$B$13</f>
        <v>-150</v>
      </c>
      <c r="Q10" s="19" t="n">
        <f aca="false">-Supuestos!$B$13</f>
        <v>-150</v>
      </c>
      <c r="R10" s="19" t="n">
        <f aca="false">-Supuestos!$B$13</f>
        <v>-150</v>
      </c>
      <c r="S10" s="19" t="n">
        <f aca="false">-Supuestos!$B$13</f>
        <v>-150</v>
      </c>
      <c r="T10" s="19" t="n">
        <f aca="false">-Supuestos!$B$13</f>
        <v>-150</v>
      </c>
      <c r="U10" s="19" t="n">
        <f aca="false">-Supuestos!$B$13</f>
        <v>-150</v>
      </c>
      <c r="V10" s="19" t="n">
        <f aca="false">-Supuestos!$B$13</f>
        <v>-150</v>
      </c>
      <c r="W10" s="19" t="n">
        <f aca="false">-Supuestos!$B$13</f>
        <v>-150</v>
      </c>
      <c r="X10" s="19" t="n">
        <f aca="false">-Supuestos!$B$13</f>
        <v>-150</v>
      </c>
      <c r="Y10" s="19" t="n">
        <f aca="false">-Supuestos!$B$13</f>
        <v>-150</v>
      </c>
      <c r="Z10" s="19" t="n">
        <f aca="false">-Supuestos!$B$13</f>
        <v>-150</v>
      </c>
    </row>
    <row r="11" customFormat="false" ht="15" hidden="false" customHeight="false" outlineLevel="0" collapsed="false">
      <c r="A11" s="4" t="s">
        <v>90</v>
      </c>
      <c r="B11" s="12" t="n">
        <v>0</v>
      </c>
      <c r="C11" s="19" t="n">
        <f aca="false">-Supuestos!$B$14</f>
        <v>-50</v>
      </c>
      <c r="D11" s="19" t="n">
        <f aca="false">-Supuestos!$B$14</f>
        <v>-50</v>
      </c>
      <c r="E11" s="19" t="n">
        <f aca="false">-Supuestos!$B$14</f>
        <v>-50</v>
      </c>
      <c r="F11" s="19" t="n">
        <f aca="false">-Supuestos!$B$14</f>
        <v>-50</v>
      </c>
      <c r="G11" s="19" t="n">
        <f aca="false">-Supuestos!$B$14</f>
        <v>-50</v>
      </c>
      <c r="H11" s="19" t="n">
        <f aca="false">-Supuestos!$B$14</f>
        <v>-50</v>
      </c>
      <c r="I11" s="19" t="n">
        <f aca="false">-Supuestos!$B$14</f>
        <v>-50</v>
      </c>
      <c r="J11" s="19" t="n">
        <f aca="false">-Supuestos!$B$14</f>
        <v>-50</v>
      </c>
      <c r="K11" s="19" t="n">
        <f aca="false">-Supuestos!$B$14</f>
        <v>-50</v>
      </c>
      <c r="L11" s="19" t="n">
        <f aca="false">-Supuestos!$B$14</f>
        <v>-50</v>
      </c>
      <c r="M11" s="19" t="n">
        <f aca="false">-Supuestos!$B$14</f>
        <v>-50</v>
      </c>
      <c r="N11" s="19" t="n">
        <f aca="false">-Supuestos!$B$14</f>
        <v>-50</v>
      </c>
      <c r="O11" s="19" t="n">
        <f aca="false">-Supuestos!$B$14</f>
        <v>-50</v>
      </c>
      <c r="P11" s="19" t="n">
        <f aca="false">-Supuestos!$B$14</f>
        <v>-50</v>
      </c>
      <c r="Q11" s="19" t="n">
        <f aca="false">-Supuestos!$B$14</f>
        <v>-50</v>
      </c>
      <c r="R11" s="19" t="n">
        <f aca="false">-Supuestos!$B$14</f>
        <v>-50</v>
      </c>
      <c r="S11" s="19" t="n">
        <f aca="false">-Supuestos!$B$14</f>
        <v>-50</v>
      </c>
      <c r="T11" s="19" t="n">
        <f aca="false">-Supuestos!$B$14</f>
        <v>-50</v>
      </c>
      <c r="U11" s="19" t="n">
        <f aca="false">-Supuestos!$B$14</f>
        <v>-50</v>
      </c>
      <c r="V11" s="19" t="n">
        <f aca="false">-Supuestos!$B$14</f>
        <v>-50</v>
      </c>
      <c r="W11" s="19" t="n">
        <f aca="false">-Supuestos!$B$14</f>
        <v>-50</v>
      </c>
      <c r="X11" s="19" t="n">
        <f aca="false">-Supuestos!$B$14</f>
        <v>-50</v>
      </c>
      <c r="Y11" s="19" t="n">
        <f aca="false">-Supuestos!$B$14</f>
        <v>-50</v>
      </c>
      <c r="Z11" s="19" t="n">
        <f aca="false">-Supuestos!$B$14</f>
        <v>-50</v>
      </c>
    </row>
    <row r="12" customFormat="false" ht="15" hidden="false" customHeight="false" outlineLevel="0" collapsed="false">
      <c r="A12" s="20" t="s">
        <v>91</v>
      </c>
      <c r="B12" s="12" t="n">
        <v>0</v>
      </c>
      <c r="C12" s="12" t="n">
        <f aca="false">SUM(C6,C8:C11)</f>
        <v>-1905</v>
      </c>
      <c r="D12" s="12" t="n">
        <f aca="false">SUM(D6,D8:D11)</f>
        <v>-1911.75</v>
      </c>
      <c r="E12" s="12" t="n">
        <f aca="false">SUM(E6,E8:E11)</f>
        <v>-1919.25</v>
      </c>
      <c r="F12" s="12" t="n">
        <f aca="false">SUM(F6,F8:F11)</f>
        <v>-1928.25</v>
      </c>
      <c r="G12" s="12" t="n">
        <f aca="false">SUM(G6,G8:G11)</f>
        <v>-1938.75</v>
      </c>
      <c r="H12" s="12" t="n">
        <f aca="false">SUM(H6,H8:H11)</f>
        <v>-1950.75</v>
      </c>
      <c r="I12" s="12" t="n">
        <f aca="false">SUM(I6,I8:I11)</f>
        <v>-1964.25</v>
      </c>
      <c r="J12" s="12" t="n">
        <f aca="false">SUM(J6,J8:J11)</f>
        <v>-1980</v>
      </c>
      <c r="K12" s="12" t="n">
        <f aca="false">SUM(K6,K8:K11)</f>
        <v>-1998</v>
      </c>
      <c r="L12" s="12" t="n">
        <f aca="false">SUM(L6,L8:L11)</f>
        <v>-2010</v>
      </c>
      <c r="M12" s="12" t="n">
        <f aca="false">SUM(M6,M8:M11)</f>
        <v>-2010</v>
      </c>
      <c r="N12" s="12" t="n">
        <f aca="false">SUM(N6,N8:N11)</f>
        <v>-2010</v>
      </c>
      <c r="O12" s="12" t="n">
        <f aca="false">SUM(O6,O8:O11)</f>
        <v>-2010</v>
      </c>
      <c r="P12" s="12" t="n">
        <f aca="false">SUM(P6,P8:P11)</f>
        <v>-2010</v>
      </c>
      <c r="Q12" s="12" t="n">
        <f aca="false">SUM(Q6,Q8:Q11)</f>
        <v>-2010</v>
      </c>
      <c r="R12" s="12" t="n">
        <f aca="false">SUM(R6,R8:R11)</f>
        <v>-2010</v>
      </c>
      <c r="S12" s="12" t="n">
        <f aca="false">SUM(S6,S8:S11)</f>
        <v>-2010</v>
      </c>
      <c r="T12" s="12" t="n">
        <f aca="false">SUM(T6,T8:T11)</f>
        <v>-2010</v>
      </c>
      <c r="U12" s="12" t="n">
        <f aca="false">SUM(U6,U8:U11)</f>
        <v>-2010</v>
      </c>
      <c r="V12" s="12" t="n">
        <f aca="false">SUM(V6,V8:V11)</f>
        <v>-2010</v>
      </c>
      <c r="W12" s="12" t="n">
        <f aca="false">SUM(W6,W8:W11)</f>
        <v>-2010</v>
      </c>
      <c r="X12" s="12" t="n">
        <f aca="false">SUM(X6,X8:X11)</f>
        <v>-2010</v>
      </c>
      <c r="Y12" s="12" t="n">
        <f aca="false">SUM(Y6,Y8:Y11)</f>
        <v>-2010</v>
      </c>
      <c r="Z12" s="12" t="n">
        <f aca="false">SUM(Z6,Z8:Z11)</f>
        <v>-2010</v>
      </c>
    </row>
    <row r="13" customFormat="false" ht="15" hidden="false" customHeight="false" outlineLevel="0" collapsed="false">
      <c r="A13" s="20" t="s">
        <v>92</v>
      </c>
      <c r="B13" s="12" t="n">
        <v>0</v>
      </c>
      <c r="C13" s="12" t="n">
        <f aca="false">C7+SUM(C8:C11)</f>
        <v>-1005</v>
      </c>
      <c r="D13" s="12" t="n">
        <f aca="false">D7+SUM(D8:D11)</f>
        <v>-876.75</v>
      </c>
      <c r="E13" s="12" t="n">
        <f aca="false">E7+SUM(E8:E11)</f>
        <v>-734.25</v>
      </c>
      <c r="F13" s="12" t="n">
        <f aca="false">F7+SUM(F8:F11)</f>
        <v>-563.25</v>
      </c>
      <c r="G13" s="12" t="n">
        <f aca="false">G7+SUM(G8:G11)</f>
        <v>-363.75</v>
      </c>
      <c r="H13" s="12" t="n">
        <f aca="false">H7+SUM(H8:H11)</f>
        <v>-135.75</v>
      </c>
      <c r="I13" s="12" t="n">
        <f aca="false">I7+SUM(I8:I11)</f>
        <v>120.75</v>
      </c>
      <c r="J13" s="12" t="n">
        <f aca="false">J7+SUM(J8:J11)</f>
        <v>420</v>
      </c>
      <c r="K13" s="12" t="n">
        <f aca="false">K7+SUM(K8:K11)</f>
        <v>762</v>
      </c>
      <c r="L13" s="12" t="n">
        <f aca="false">L7+SUM(L8:L11)</f>
        <v>990</v>
      </c>
      <c r="M13" s="12" t="n">
        <f aca="false">M7+SUM(M8:M11)</f>
        <v>990</v>
      </c>
      <c r="N13" s="12" t="n">
        <f aca="false">N7+SUM(N8:N11)</f>
        <v>990</v>
      </c>
      <c r="O13" s="12" t="n">
        <f aca="false">O7+SUM(O8:O11)</f>
        <v>990</v>
      </c>
      <c r="P13" s="12" t="n">
        <f aca="false">P7+SUM(P8:P11)</f>
        <v>990</v>
      </c>
      <c r="Q13" s="12" t="n">
        <f aca="false">Q7+SUM(Q8:Q11)</f>
        <v>990</v>
      </c>
      <c r="R13" s="12" t="n">
        <f aca="false">R7+SUM(R8:R11)</f>
        <v>990</v>
      </c>
      <c r="S13" s="12" t="n">
        <f aca="false">S7+SUM(S8:S11)</f>
        <v>990</v>
      </c>
      <c r="T13" s="12" t="n">
        <f aca="false">T7+SUM(T8:T11)</f>
        <v>990</v>
      </c>
      <c r="U13" s="12" t="n">
        <f aca="false">U7+SUM(U8:U11)</f>
        <v>990</v>
      </c>
      <c r="V13" s="12" t="n">
        <f aca="false">V7+SUM(V8:V11)</f>
        <v>990</v>
      </c>
      <c r="W13" s="12" t="n">
        <f aca="false">W7+SUM(W8:W11)</f>
        <v>990</v>
      </c>
      <c r="X13" s="12" t="n">
        <f aca="false">X7+SUM(X8:X11)</f>
        <v>990</v>
      </c>
      <c r="Y13" s="12" t="n">
        <f aca="false">Y7+SUM(Y8:Y11)</f>
        <v>990</v>
      </c>
      <c r="Z13" s="12" t="n">
        <f aca="false">Z7+SUM(Z8:Z11)</f>
        <v>990</v>
      </c>
    </row>
    <row r="14" customFormat="false" ht="15" hidden="false" customHeight="false" outlineLevel="0" collapsed="false">
      <c r="A14" s="4" t="s">
        <v>93</v>
      </c>
      <c r="B14" s="12" t="n">
        <v>0</v>
      </c>
      <c r="C14" s="19" t="n">
        <f aca="false">-MAX(0,C13)*Supuestos!$B$15</f>
        <v>-0</v>
      </c>
      <c r="D14" s="19" t="n">
        <f aca="false">-MAX(0,D13)*Supuestos!$B$15</f>
        <v>-0</v>
      </c>
      <c r="E14" s="19" t="n">
        <f aca="false">-MAX(0,E13)*Supuestos!$B$15</f>
        <v>-0</v>
      </c>
      <c r="F14" s="19" t="n">
        <f aca="false">-MAX(0,F13)*Supuestos!$B$15</f>
        <v>-0</v>
      </c>
      <c r="G14" s="19" t="n">
        <f aca="false">-MAX(0,G13)*Supuestos!$B$15</f>
        <v>-0</v>
      </c>
      <c r="H14" s="19" t="n">
        <f aca="false">-MAX(0,H13)*Supuestos!$B$15</f>
        <v>-0</v>
      </c>
      <c r="I14" s="19" t="n">
        <f aca="false">-MAX(0,I13)*Supuestos!$B$15</f>
        <v>-0</v>
      </c>
      <c r="J14" s="19" t="n">
        <f aca="false">-MAX(0,J13)*Supuestos!$B$15</f>
        <v>-0</v>
      </c>
      <c r="K14" s="19" t="n">
        <f aca="false">-MAX(0,K13)*Supuestos!$B$15</f>
        <v>-0</v>
      </c>
      <c r="L14" s="19" t="n">
        <f aca="false">-MAX(0,L13)*Supuestos!$B$15</f>
        <v>-0</v>
      </c>
      <c r="M14" s="19" t="n">
        <f aca="false">-MAX(0,M13)*Supuestos!$B$15</f>
        <v>-0</v>
      </c>
      <c r="N14" s="19" t="n">
        <f aca="false">-MAX(0,N13)*Supuestos!$B$15</f>
        <v>-0</v>
      </c>
      <c r="O14" s="19" t="n">
        <f aca="false">-MAX(0,O13)*Supuestos!$B$15</f>
        <v>-0</v>
      </c>
      <c r="P14" s="19" t="n">
        <f aca="false">-MAX(0,P13)*Supuestos!$B$15</f>
        <v>-0</v>
      </c>
      <c r="Q14" s="19" t="n">
        <f aca="false">-MAX(0,Q13)*Supuestos!$B$15</f>
        <v>-0</v>
      </c>
      <c r="R14" s="19" t="n">
        <f aca="false">-MAX(0,R13)*Supuestos!$B$15</f>
        <v>-0</v>
      </c>
      <c r="S14" s="19" t="n">
        <f aca="false">-MAX(0,S13)*Supuestos!$B$15</f>
        <v>-0</v>
      </c>
      <c r="T14" s="19" t="n">
        <f aca="false">-MAX(0,T13)*Supuestos!$B$15</f>
        <v>-0</v>
      </c>
      <c r="U14" s="19" t="n">
        <f aca="false">-MAX(0,U13)*Supuestos!$B$15</f>
        <v>-0</v>
      </c>
      <c r="V14" s="19" t="n">
        <f aca="false">-MAX(0,V13)*Supuestos!$B$15</f>
        <v>-0</v>
      </c>
      <c r="W14" s="19" t="n">
        <f aca="false">-MAX(0,W13)*Supuestos!$B$15</f>
        <v>-0</v>
      </c>
      <c r="X14" s="19" t="n">
        <f aca="false">-MAX(0,X13)*Supuestos!$B$15</f>
        <v>-0</v>
      </c>
      <c r="Y14" s="19" t="n">
        <f aca="false">-MAX(0,Y13)*Supuestos!$B$15</f>
        <v>-0</v>
      </c>
      <c r="Z14" s="19" t="n">
        <f aca="false">-MAX(0,Z13)*Supuestos!$B$15</f>
        <v>-0</v>
      </c>
    </row>
    <row r="15" customFormat="false" ht="15" hidden="false" customHeight="false" outlineLevel="0" collapsed="false">
      <c r="A15" s="4" t="s">
        <v>94</v>
      </c>
      <c r="B15" s="12" t="n">
        <v>0</v>
      </c>
      <c r="C15" s="12" t="n">
        <f aca="false">C13+C14</f>
        <v>-1005</v>
      </c>
      <c r="D15" s="12" t="n">
        <f aca="false">D13+D14</f>
        <v>-876.75</v>
      </c>
      <c r="E15" s="12" t="n">
        <f aca="false">E13+E14</f>
        <v>-734.25</v>
      </c>
      <c r="F15" s="12" t="n">
        <f aca="false">F13+F14</f>
        <v>-563.25</v>
      </c>
      <c r="G15" s="12" t="n">
        <f aca="false">G13+G14</f>
        <v>-363.75</v>
      </c>
      <c r="H15" s="12" t="n">
        <f aca="false">H13+H14</f>
        <v>-135.75</v>
      </c>
      <c r="I15" s="12" t="n">
        <f aca="false">I13+I14</f>
        <v>120.75</v>
      </c>
      <c r="J15" s="12" t="n">
        <f aca="false">J13+J14</f>
        <v>420</v>
      </c>
      <c r="K15" s="12" t="n">
        <f aca="false">K13+K14</f>
        <v>762</v>
      </c>
      <c r="L15" s="12" t="n">
        <f aca="false">L13+L14</f>
        <v>990</v>
      </c>
      <c r="M15" s="12" t="n">
        <f aca="false">M13+M14</f>
        <v>990</v>
      </c>
      <c r="N15" s="12" t="n">
        <f aca="false">N13+N14</f>
        <v>990</v>
      </c>
      <c r="O15" s="12" t="n">
        <f aca="false">O13+O14</f>
        <v>990</v>
      </c>
      <c r="P15" s="12" t="n">
        <f aca="false">P13+P14</f>
        <v>990</v>
      </c>
      <c r="Q15" s="12" t="n">
        <f aca="false">Q13+Q14</f>
        <v>990</v>
      </c>
      <c r="R15" s="12" t="n">
        <f aca="false">R13+R14</f>
        <v>990</v>
      </c>
      <c r="S15" s="12" t="n">
        <f aca="false">S13+S14</f>
        <v>990</v>
      </c>
      <c r="T15" s="12" t="n">
        <f aca="false">T13+T14</f>
        <v>990</v>
      </c>
      <c r="U15" s="12" t="n">
        <f aca="false">U13+U14</f>
        <v>990</v>
      </c>
      <c r="V15" s="12" t="n">
        <f aca="false">V13+V14</f>
        <v>990</v>
      </c>
      <c r="W15" s="12" t="n">
        <f aca="false">W13+W14</f>
        <v>990</v>
      </c>
      <c r="X15" s="12" t="n">
        <f aca="false">X13+X14</f>
        <v>990</v>
      </c>
      <c r="Y15" s="12" t="n">
        <f aca="false">Y13+Y14</f>
        <v>990</v>
      </c>
      <c r="Z15" s="12" t="n">
        <f aca="false">Z13+Z14</f>
        <v>990</v>
      </c>
    </row>
    <row r="16" customFormat="false" ht="15" hidden="false" customHeight="false" outlineLevel="0" collapsed="false">
      <c r="A16" s="4" t="s">
        <v>95</v>
      </c>
      <c r="B16" s="19" t="n">
        <f aca="false">-Inversion!$B$13</f>
        <v>-2200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</row>
    <row r="17" customFormat="false" ht="15" hidden="false" customHeight="false" outlineLevel="0" collapsed="false">
      <c r="A17" s="21" t="s">
        <v>96</v>
      </c>
      <c r="B17" s="17" t="n">
        <f aca="false">B15+B16</f>
        <v>-2200</v>
      </c>
      <c r="C17" s="17" t="n">
        <f aca="false">C15+C16</f>
        <v>-1005</v>
      </c>
      <c r="D17" s="17" t="n">
        <f aca="false">D15+D16</f>
        <v>-876.75</v>
      </c>
      <c r="E17" s="17" t="n">
        <f aca="false">E15+E16</f>
        <v>-734.25</v>
      </c>
      <c r="F17" s="17" t="n">
        <f aca="false">F15+F16</f>
        <v>-563.25</v>
      </c>
      <c r="G17" s="17" t="n">
        <f aca="false">G15+G16</f>
        <v>-363.75</v>
      </c>
      <c r="H17" s="17" t="n">
        <f aca="false">H15+H16</f>
        <v>-135.75</v>
      </c>
      <c r="I17" s="17" t="n">
        <f aca="false">I15+I16</f>
        <v>120.75</v>
      </c>
      <c r="J17" s="17" t="n">
        <f aca="false">J15+J16</f>
        <v>420</v>
      </c>
      <c r="K17" s="17" t="n">
        <f aca="false">K15+K16</f>
        <v>762</v>
      </c>
      <c r="L17" s="17" t="n">
        <f aca="false">L15+L16</f>
        <v>990</v>
      </c>
      <c r="M17" s="17" t="n">
        <f aca="false">M15+M16</f>
        <v>990</v>
      </c>
      <c r="N17" s="17" t="n">
        <f aca="false">N15+N16</f>
        <v>990</v>
      </c>
      <c r="O17" s="17" t="n">
        <f aca="false">O15+O16</f>
        <v>990</v>
      </c>
      <c r="P17" s="17" t="n">
        <f aca="false">P15+P16</f>
        <v>990</v>
      </c>
      <c r="Q17" s="17" t="n">
        <f aca="false">Q15+Q16</f>
        <v>990</v>
      </c>
      <c r="R17" s="17" t="n">
        <f aca="false">R15+R16</f>
        <v>990</v>
      </c>
      <c r="S17" s="17" t="n">
        <f aca="false">S15+S16</f>
        <v>990</v>
      </c>
      <c r="T17" s="17" t="n">
        <f aca="false">T15+T16</f>
        <v>990</v>
      </c>
      <c r="U17" s="17" t="n">
        <f aca="false">U15+U16</f>
        <v>990</v>
      </c>
      <c r="V17" s="17" t="n">
        <f aca="false">V15+V16</f>
        <v>990</v>
      </c>
      <c r="W17" s="17" t="n">
        <f aca="false">W15+W16</f>
        <v>990</v>
      </c>
      <c r="X17" s="17" t="n">
        <f aca="false">X15+X16</f>
        <v>990</v>
      </c>
      <c r="Y17" s="17" t="n">
        <f aca="false">Y15+Y16</f>
        <v>990</v>
      </c>
      <c r="Z17" s="17" t="n">
        <f aca="false">Z15+Z16</f>
        <v>990</v>
      </c>
    </row>
    <row r="18" customFormat="false" ht="15" hidden="false" customHeight="false" outlineLevel="0" collapsed="false">
      <c r="A18" s="21" t="s">
        <v>97</v>
      </c>
      <c r="B18" s="17" t="n">
        <f aca="false">B17</f>
        <v>-2200</v>
      </c>
      <c r="C18" s="17" t="n">
        <f aca="false">B18+C17</f>
        <v>-3205</v>
      </c>
      <c r="D18" s="17" t="n">
        <f aca="false">C18+D17</f>
        <v>-4081.75</v>
      </c>
      <c r="E18" s="17" t="n">
        <f aca="false">D18+E17</f>
        <v>-4816</v>
      </c>
      <c r="F18" s="17" t="n">
        <f aca="false">E18+F17</f>
        <v>-5379.25</v>
      </c>
      <c r="G18" s="17" t="n">
        <f aca="false">F18+G17</f>
        <v>-5743</v>
      </c>
      <c r="H18" s="17" t="n">
        <f aca="false">G18+H17</f>
        <v>-5878.75</v>
      </c>
      <c r="I18" s="17" t="n">
        <f aca="false">H18+I17</f>
        <v>-5758</v>
      </c>
      <c r="J18" s="17" t="n">
        <f aca="false">I18+J17</f>
        <v>-5338</v>
      </c>
      <c r="K18" s="17" t="n">
        <f aca="false">J18+K17</f>
        <v>-4576</v>
      </c>
      <c r="L18" s="17" t="n">
        <f aca="false">K18+L17</f>
        <v>-3586</v>
      </c>
      <c r="M18" s="17" t="n">
        <f aca="false">L18+M17</f>
        <v>-2596</v>
      </c>
      <c r="N18" s="17" t="n">
        <f aca="false">M18+N17</f>
        <v>-1606</v>
      </c>
      <c r="O18" s="17" t="n">
        <f aca="false">N18+O17</f>
        <v>-616</v>
      </c>
      <c r="P18" s="17" t="n">
        <f aca="false">O18+P17</f>
        <v>374</v>
      </c>
      <c r="Q18" s="17" t="n">
        <f aca="false">P18+Q17</f>
        <v>1364</v>
      </c>
      <c r="R18" s="17" t="n">
        <f aca="false">Q18+R17</f>
        <v>2354</v>
      </c>
      <c r="S18" s="17" t="n">
        <f aca="false">R18+S17</f>
        <v>3344</v>
      </c>
      <c r="T18" s="17" t="n">
        <f aca="false">S18+T17</f>
        <v>4334</v>
      </c>
      <c r="U18" s="17" t="n">
        <f aca="false">T18+U17</f>
        <v>5324</v>
      </c>
      <c r="V18" s="17" t="n">
        <f aca="false">U18+V17</f>
        <v>6314</v>
      </c>
      <c r="W18" s="17" t="n">
        <f aca="false">V18+W17</f>
        <v>7304</v>
      </c>
      <c r="X18" s="17" t="n">
        <f aca="false">W18+X17</f>
        <v>8294</v>
      </c>
      <c r="Y18" s="17" t="n">
        <f aca="false">X18+Y17</f>
        <v>9284</v>
      </c>
      <c r="Z18" s="17" t="n">
        <f aca="false">Y18+Z17</f>
        <v>10274</v>
      </c>
    </row>
    <row r="20" customFormat="false" ht="15" hidden="false" customHeight="false" outlineLevel="0" collapsed="false">
      <c r="A20" s="2" t="s">
        <v>98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8"/>
    <col collapsed="false" customWidth="true" hidden="false" outlineLevel="0" max="3" min="3" style="0" width="62"/>
  </cols>
  <sheetData>
    <row r="1" customFormat="false" ht="24" hidden="false" customHeight="true" outlineLevel="0" collapsed="false">
      <c r="A1" s="1" t="s">
        <v>99</v>
      </c>
      <c r="B1" s="1"/>
      <c r="C1" s="1"/>
    </row>
    <row r="3" customFormat="false" ht="15" hidden="false" customHeight="false" outlineLevel="0" collapsed="false">
      <c r="A3" s="3" t="s">
        <v>100</v>
      </c>
      <c r="B3" s="3" t="s">
        <v>3</v>
      </c>
      <c r="C3" s="3" t="s">
        <v>101</v>
      </c>
    </row>
    <row r="4" customFormat="false" ht="15" hidden="false" customHeight="false" outlineLevel="0" collapsed="false">
      <c r="A4" s="9" t="s">
        <v>102</v>
      </c>
      <c r="B4" s="22"/>
      <c r="C4" s="22"/>
    </row>
    <row r="5" customFormat="false" ht="15" hidden="false" customHeight="false" outlineLevel="0" collapsed="false">
      <c r="A5" s="4" t="s">
        <v>103</v>
      </c>
      <c r="B5" s="19" t="n">
        <f aca="false">Inversion!$B$13</f>
        <v>2200</v>
      </c>
      <c r="C5" s="2" t="s">
        <v>104</v>
      </c>
    </row>
    <row r="6" customFormat="false" ht="15" hidden="false" customHeight="false" outlineLevel="0" collapsed="false">
      <c r="A6" s="4" t="s">
        <v>105</v>
      </c>
      <c r="B6" s="12" t="n">
        <f aca="false">MAX(0,-MIN('Flujo de Caja'!$B$18:$Z$18)-Inversion!$B$13)</f>
        <v>3678.75</v>
      </c>
      <c r="C6" s="2" t="s">
        <v>106</v>
      </c>
    </row>
    <row r="7" customFormat="false" ht="15" hidden="false" customHeight="false" outlineLevel="0" collapsed="false">
      <c r="A7" s="20" t="s">
        <v>107</v>
      </c>
      <c r="B7" s="17" t="n">
        <f aca="false">MAX(0,-MIN('Flujo de Caja'!$B$18:$Z$18))</f>
        <v>5878.75</v>
      </c>
      <c r="C7" s="2" t="s">
        <v>108</v>
      </c>
    </row>
    <row r="8" customFormat="false" ht="15" hidden="false" customHeight="false" outlineLevel="0" collapsed="false">
      <c r="A8" s="9" t="s">
        <v>109</v>
      </c>
      <c r="B8" s="22"/>
      <c r="C8" s="22"/>
    </row>
    <row r="9" customFormat="false" ht="15" hidden="false" customHeight="false" outlineLevel="0" collapsed="false">
      <c r="A9" s="4" t="s">
        <v>110</v>
      </c>
      <c r="B9" s="12" t="n">
        <f aca="false">NPV(Supuestos!$B$19,'Flujo de Caja'!$C$17:$Z$17)+'Flujo de Caja'!$B$17</f>
        <v>8073.04089602508</v>
      </c>
      <c r="C9" s="2" t="s">
        <v>111</v>
      </c>
    </row>
    <row r="10" customFormat="false" ht="15" hidden="false" customHeight="false" outlineLevel="0" collapsed="false">
      <c r="A10" s="4" t="s">
        <v>112</v>
      </c>
      <c r="B10" s="23" t="n">
        <f aca="false">IFERROR(IRR('Flujo de Caja'!$B$17:$Z$17,0.02),"No calculable")</f>
        <v>0.0752481905814731</v>
      </c>
      <c r="C10" s="2" t="s">
        <v>113</v>
      </c>
    </row>
    <row r="11" customFormat="false" ht="15" hidden="false" customHeight="false" outlineLevel="0" collapsed="false">
      <c r="A11" s="4" t="s">
        <v>114</v>
      </c>
      <c r="B11" s="23" t="n">
        <f aca="false">IFERROR((1+B10)^12-1,"No calculable")</f>
        <v>1.38838670383491</v>
      </c>
      <c r="C11" s="2" t="s">
        <v>115</v>
      </c>
    </row>
    <row r="12" customFormat="false" ht="15" hidden="false" customHeight="false" outlineLevel="0" collapsed="false">
      <c r="A12" s="4" t="s">
        <v>116</v>
      </c>
      <c r="B12" s="24" t="n">
        <f aca="false">Supuestos!$B$16</f>
        <v>0.12</v>
      </c>
      <c r="C12" s="2" t="s">
        <v>117</v>
      </c>
    </row>
    <row r="13" customFormat="false" ht="15" hidden="false" customHeight="false" outlineLevel="0" collapsed="false">
      <c r="A13" s="4" t="s">
        <v>118</v>
      </c>
      <c r="B13" s="11" t="n">
        <f aca="false">IF(INDEX('Flujo de Caja'!$B$18:$Z$18,1,25)&lt;0,"No recupera en 24 meses",COUNTIF('Flujo de Caja'!$B$18:$Z$18,"&lt;0"))</f>
        <v>14</v>
      </c>
      <c r="C13" s="2" t="s">
        <v>119</v>
      </c>
    </row>
    <row r="14" customFormat="false" ht="15" hidden="false" customHeight="false" outlineLevel="0" collapsed="false">
      <c r="A14" s="4" t="s">
        <v>120</v>
      </c>
      <c r="B14" s="12" t="n">
        <f aca="false">INDEX('Flujo de Caja'!$B$18:$Z$18,1,25)</f>
        <v>10274</v>
      </c>
      <c r="C14" s="2" t="s">
        <v>121</v>
      </c>
    </row>
    <row r="15" customFormat="false" ht="15" hidden="false" customHeight="false" outlineLevel="0" collapsed="false">
      <c r="A15" s="4" t="s">
        <v>122</v>
      </c>
      <c r="B15" s="23" t="n">
        <f aca="false">IFERROR(B14/B7,0)</f>
        <v>1.74765043589198</v>
      </c>
      <c r="C15" s="2" t="s">
        <v>123</v>
      </c>
    </row>
    <row r="16" customFormat="false" ht="15" hidden="false" customHeight="false" outlineLevel="0" collapsed="false">
      <c r="A16" s="9" t="s">
        <v>124</v>
      </c>
      <c r="B16" s="22"/>
      <c r="C16" s="22"/>
    </row>
    <row r="17" customFormat="false" ht="15" hidden="false" customHeight="false" outlineLevel="0" collapsed="false">
      <c r="A17" s="4" t="s">
        <v>125</v>
      </c>
      <c r="B17" s="11" t="n">
        <f aca="false">ROUNDUP(Supuestos!$B$22/Supuestos!$B$23,0)</f>
        <v>131</v>
      </c>
      <c r="C17" s="2" t="s">
        <v>126</v>
      </c>
    </row>
    <row r="18" customFormat="false" ht="15" hidden="false" customHeight="false" outlineLevel="0" collapsed="false">
      <c r="A18" s="4" t="s">
        <v>127</v>
      </c>
      <c r="B18" s="18" t="n">
        <f aca="false">Supuestos!$B$20</f>
        <v>200</v>
      </c>
      <c r="C18" s="2" t="s">
        <v>128</v>
      </c>
    </row>
    <row r="19" customFormat="false" ht="15" hidden="false" customHeight="false" outlineLevel="0" collapsed="false">
      <c r="A19" s="4" t="s">
        <v>129</v>
      </c>
      <c r="B19" s="19" t="n">
        <f aca="false">B17*Supuestos!$B$4</f>
        <v>1965</v>
      </c>
      <c r="C19" s="2" t="s">
        <v>130</v>
      </c>
    </row>
    <row r="20" customFormat="false" ht="15" hidden="false" customHeight="false" outlineLevel="0" collapsed="false">
      <c r="A20" s="4" t="s">
        <v>131</v>
      </c>
      <c r="B20" s="19" t="n">
        <f aca="false">B18*Supuestos!$B$23-Supuestos!$B$22</f>
        <v>990</v>
      </c>
      <c r="C20" s="2" t="s">
        <v>132</v>
      </c>
    </row>
    <row r="21" customFormat="false" ht="15" hidden="false" customHeight="false" outlineLevel="0" collapsed="false">
      <c r="A21" s="4" t="s">
        <v>133</v>
      </c>
      <c r="B21" s="23" t="n">
        <f aca="false">IFERROR(B20/(B18*Supuestos!$B$4),0)</f>
        <v>0.33</v>
      </c>
      <c r="C21" s="2" t="s">
        <v>134</v>
      </c>
    </row>
    <row r="22" customFormat="false" ht="15" hidden="false" customHeight="false" outlineLevel="0" collapsed="false">
      <c r="A22" s="9" t="s">
        <v>135</v>
      </c>
      <c r="B22" s="22"/>
      <c r="C22" s="22"/>
    </row>
    <row r="23" customFormat="false" ht="26.85" hidden="false" customHeight="false" outlineLevel="0" collapsed="false">
      <c r="A23" s="4" t="s">
        <v>136</v>
      </c>
      <c r="B23" s="25" t="str">
        <f aca="false">IF(AND(ISNUMBER(B9),B9&gt;0,B18&gt;=B17),"VIABLE: VAN positivo y la capacidad supera el punto de equilibrio",IF(B18&lt;B17,"NO VIABLE: la capacidad no alcanza el punto de equilibrio","NO VIABLE en 24 meses: VAN negativo"))</f>
        <v>VIABLE: VAN positivo y la capacidad supera el punto de equilibrio</v>
      </c>
      <c r="C23" s="2" t="s">
        <v>137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5" min="2" style="0" width="15"/>
  </cols>
  <sheetData>
    <row r="1" customFormat="false" ht="24" hidden="false" customHeight="true" outlineLevel="0" collapsed="false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0" hidden="false" customHeight="true" outlineLevel="0" collapsed="false">
      <c r="A2" s="26" t="s">
        <v>139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4" customFormat="false" ht="15" hidden="false" customHeight="false" outlineLevel="0" collapsed="false">
      <c r="A4" s="20" t="s">
        <v>140</v>
      </c>
      <c r="B4" s="17" t="n">
        <f aca="false">F20</f>
        <v>25726</v>
      </c>
    </row>
    <row r="5" customFormat="false" ht="15" hidden="false" customHeight="false" outlineLevel="0" collapsed="false">
      <c r="A5" s="20" t="s">
        <v>141</v>
      </c>
      <c r="B5" s="27" t="n">
        <f aca="false">COUNT(D9:D20)</f>
        <v>6</v>
      </c>
    </row>
    <row r="8" customFormat="false" ht="45" hidden="false" customHeight="true" outlineLevel="0" collapsed="false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 t="s">
        <v>147</v>
      </c>
      <c r="G8" s="3" t="s">
        <v>148</v>
      </c>
      <c r="H8" s="3" t="s">
        <v>149</v>
      </c>
      <c r="I8" s="3" t="s">
        <v>150</v>
      </c>
      <c r="J8" s="3" t="s">
        <v>151</v>
      </c>
      <c r="K8" s="3" t="s">
        <v>152</v>
      </c>
      <c r="L8" s="3" t="s">
        <v>153</v>
      </c>
      <c r="M8" s="3" t="s">
        <v>154</v>
      </c>
      <c r="N8" s="3" t="s">
        <v>155</v>
      </c>
      <c r="O8" s="3" t="s">
        <v>156</v>
      </c>
    </row>
    <row r="9" customFormat="false" ht="15" hidden="false" customHeight="false" outlineLevel="0" collapsed="false">
      <c r="A9" s="28" t="n">
        <v>1</v>
      </c>
      <c r="B9" s="23" t="n">
        <f aca="false">F9/$B$4</f>
        <v>0.159566197621084</v>
      </c>
      <c r="C9" s="7" t="n">
        <v>0.15</v>
      </c>
      <c r="D9" s="8" t="n">
        <v>4250</v>
      </c>
      <c r="E9" s="19" t="n">
        <f aca="false">-'Flujo de Caja'!C12+Inversion!$B$13</f>
        <v>4105</v>
      </c>
      <c r="F9" s="12" t="n">
        <f aca="false">SUM($E$9:E9)</f>
        <v>4105</v>
      </c>
      <c r="G9" s="12" t="n">
        <f aca="false">IF(D9="","",C9*$B$4)</f>
        <v>3858.9</v>
      </c>
      <c r="H9" s="12" t="n">
        <f aca="false">IF(D9="","",G9-D9)</f>
        <v>-391.1</v>
      </c>
      <c r="I9" s="12" t="n">
        <f aca="false">IF(D9="","",G9-F9)</f>
        <v>-246.1</v>
      </c>
      <c r="J9" s="29" t="n">
        <f aca="false">IF(D9="","",IFERROR(G9/D9,0))</f>
        <v>0.907976470588235</v>
      </c>
      <c r="K9" s="29" t="n">
        <f aca="false">IF(D9="","",IFERROR(G9/F9,0))</f>
        <v>0.940048721071864</v>
      </c>
      <c r="L9" s="12" t="n">
        <f aca="false">IF(D9="","",IFERROR($B$4/J9,0))</f>
        <v>28333.3333333333</v>
      </c>
      <c r="M9" s="12" t="n">
        <f aca="false">IF(D9="","",L9-D9)</f>
        <v>24083.3333333333</v>
      </c>
      <c r="N9" s="12" t="n">
        <f aca="false">IF(D9="","",$B$4-L9)</f>
        <v>-2607.33333333334</v>
      </c>
      <c r="O9" s="29" t="n">
        <f aca="false">IF(D9="","",IFERROR(($B$4-G9)/($B$4-D9),0))</f>
        <v>1.01821102626187</v>
      </c>
    </row>
    <row r="10" customFormat="false" ht="15" hidden="false" customHeight="false" outlineLevel="0" collapsed="false">
      <c r="A10" s="28" t="n">
        <v>2</v>
      </c>
      <c r="B10" s="23" t="n">
        <f aca="false">F10/$B$4</f>
        <v>0.233878177719039</v>
      </c>
      <c r="C10" s="7" t="n">
        <v>0.22</v>
      </c>
      <c r="D10" s="8" t="n">
        <v>6300</v>
      </c>
      <c r="E10" s="19" t="n">
        <f aca="false">-'Flujo de Caja'!D12</f>
        <v>1911.75</v>
      </c>
      <c r="F10" s="12" t="n">
        <f aca="false">SUM($E$9:E10)</f>
        <v>6016.75</v>
      </c>
      <c r="G10" s="12" t="n">
        <f aca="false">IF(D10="","",C10*$B$4)</f>
        <v>5659.72</v>
      </c>
      <c r="H10" s="12" t="n">
        <f aca="false">IF(D10="","",G10-D10)</f>
        <v>-640.28</v>
      </c>
      <c r="I10" s="12" t="n">
        <f aca="false">IF(D10="","",G10-F10)</f>
        <v>-357.03</v>
      </c>
      <c r="J10" s="29" t="n">
        <f aca="false">IF(D10="","",IFERROR(G10/D10,0))</f>
        <v>0.898368253968254</v>
      </c>
      <c r="K10" s="29" t="n">
        <f aca="false">IF(D10="","",IFERROR(G10/F10,0))</f>
        <v>0.940660655669589</v>
      </c>
      <c r="L10" s="12" t="n">
        <f aca="false">IF(D10="","",IFERROR($B$4/J10,0))</f>
        <v>28636.3636363636</v>
      </c>
      <c r="M10" s="12" t="n">
        <f aca="false">IF(D10="","",L10-D10)</f>
        <v>22336.3636363636</v>
      </c>
      <c r="N10" s="12" t="n">
        <f aca="false">IF(D10="","",$B$4-L10)</f>
        <v>-2910.36363636363</v>
      </c>
      <c r="O10" s="29" t="n">
        <f aca="false">IF(D10="","",IFERROR(($B$4-G10)/($B$4-D10),0))</f>
        <v>1.03295995058169</v>
      </c>
    </row>
    <row r="11" customFormat="false" ht="15" hidden="false" customHeight="false" outlineLevel="0" collapsed="false">
      <c r="A11" s="28" t="n">
        <v>3</v>
      </c>
      <c r="B11" s="23" t="n">
        <f aca="false">F11/$B$4</f>
        <v>0.308481691673793</v>
      </c>
      <c r="C11" s="7" t="n">
        <v>0.29</v>
      </c>
      <c r="D11" s="8" t="n">
        <v>8250</v>
      </c>
      <c r="E11" s="19" t="n">
        <f aca="false">-'Flujo de Caja'!E12</f>
        <v>1919.25</v>
      </c>
      <c r="F11" s="12" t="n">
        <f aca="false">SUM($E$9:E11)</f>
        <v>7936</v>
      </c>
      <c r="G11" s="12" t="n">
        <f aca="false">IF(D11="","",C11*$B$4)</f>
        <v>7460.54</v>
      </c>
      <c r="H11" s="12" t="n">
        <f aca="false">IF(D11="","",G11-D11)</f>
        <v>-789.460000000001</v>
      </c>
      <c r="I11" s="12" t="n">
        <f aca="false">IF(D11="","",G11-F11)</f>
        <v>-475.460000000001</v>
      </c>
      <c r="J11" s="29" t="n">
        <f aca="false">IF(D11="","",IFERROR(G11/D11,0))</f>
        <v>0.904307878787879</v>
      </c>
      <c r="K11" s="29" t="n">
        <f aca="false">IF(D11="","",IFERROR(G11/F11,0))</f>
        <v>0.940088205645161</v>
      </c>
      <c r="L11" s="12" t="n">
        <f aca="false">IF(D11="","",IFERROR($B$4/J11,0))</f>
        <v>28448.275862069</v>
      </c>
      <c r="M11" s="12" t="n">
        <f aca="false">IF(D11="","",L11-D11)</f>
        <v>20198.275862069</v>
      </c>
      <c r="N11" s="12" t="n">
        <f aca="false">IF(D11="","",$B$4-L11)</f>
        <v>-2722.27586206897</v>
      </c>
      <c r="O11" s="29" t="n">
        <f aca="false">IF(D11="","",IFERROR(($B$4-G11)/($B$4-D11),0))</f>
        <v>1.04517395284962</v>
      </c>
    </row>
    <row r="12" customFormat="false" ht="15" hidden="false" customHeight="false" outlineLevel="0" collapsed="false">
      <c r="A12" s="28" t="n">
        <v>4</v>
      </c>
      <c r="B12" s="23" t="n">
        <f aca="false">F12/$B$4</f>
        <v>0.383435046256705</v>
      </c>
      <c r="C12" s="7" t="n">
        <v>0.37</v>
      </c>
      <c r="D12" s="8" t="n">
        <v>10150</v>
      </c>
      <c r="E12" s="19" t="n">
        <f aca="false">-'Flujo de Caja'!F12</f>
        <v>1928.25</v>
      </c>
      <c r="F12" s="12" t="n">
        <f aca="false">SUM($E$9:E12)</f>
        <v>9864.25</v>
      </c>
      <c r="G12" s="12" t="n">
        <f aca="false">IF(D12="","",C12*$B$4)</f>
        <v>9518.62</v>
      </c>
      <c r="H12" s="12" t="n">
        <f aca="false">IF(D12="","",G12-D12)</f>
        <v>-631.380000000001</v>
      </c>
      <c r="I12" s="12" t="n">
        <f aca="false">IF(D12="","",G12-F12)</f>
        <v>-345.630000000001</v>
      </c>
      <c r="J12" s="29" t="n">
        <f aca="false">IF(D12="","",IFERROR(G12/D12,0))</f>
        <v>0.937795073891626</v>
      </c>
      <c r="K12" s="29" t="n">
        <f aca="false">IF(D12="","",IFERROR(G12/F12,0))</f>
        <v>0.96496135033074</v>
      </c>
      <c r="L12" s="12" t="n">
        <f aca="false">IF(D12="","",IFERROR($B$4/J12,0))</f>
        <v>27432.4324324324</v>
      </c>
      <c r="M12" s="12" t="n">
        <f aca="false">IF(D12="","",L12-D12)</f>
        <v>17282.4324324324</v>
      </c>
      <c r="N12" s="12" t="n">
        <f aca="false">IF(D12="","",$B$4-L12)</f>
        <v>-1706.43243243243</v>
      </c>
      <c r="O12" s="29" t="n">
        <f aca="false">IF(D12="","",IFERROR(($B$4-G12)/($B$4-D12),0))</f>
        <v>1.04053543913713</v>
      </c>
    </row>
    <row r="13" customFormat="false" ht="15" hidden="false" customHeight="false" outlineLevel="0" collapsed="false">
      <c r="A13" s="28" t="n">
        <v>5</v>
      </c>
      <c r="B13" s="23" t="n">
        <f aca="false">F13/$B$4</f>
        <v>0.458796548239136</v>
      </c>
      <c r="C13" s="7" t="n">
        <v>0.45</v>
      </c>
      <c r="D13" s="8" t="n">
        <v>12100</v>
      </c>
      <c r="E13" s="19" t="n">
        <f aca="false">-'Flujo de Caja'!G12</f>
        <v>1938.75</v>
      </c>
      <c r="F13" s="12" t="n">
        <f aca="false">SUM($E$9:E13)</f>
        <v>11803</v>
      </c>
      <c r="G13" s="12" t="n">
        <f aca="false">IF(D13="","",C13*$B$4)</f>
        <v>11576.7</v>
      </c>
      <c r="H13" s="12" t="n">
        <f aca="false">IF(D13="","",G13-D13)</f>
        <v>-523.299999999999</v>
      </c>
      <c r="I13" s="12" t="n">
        <f aca="false">IF(D13="","",G13-F13)</f>
        <v>-226.299999999999</v>
      </c>
      <c r="J13" s="29" t="n">
        <f aca="false">IF(D13="","",IFERROR(G13/D13,0))</f>
        <v>0.956752066115703</v>
      </c>
      <c r="K13" s="29" t="n">
        <f aca="false">IF(D13="","",IFERROR(G13/F13,0))</f>
        <v>0.980826908413115</v>
      </c>
      <c r="L13" s="12" t="n">
        <f aca="false">IF(D13="","",IFERROR($B$4/J13,0))</f>
        <v>26888.8888888889</v>
      </c>
      <c r="M13" s="12" t="n">
        <f aca="false">IF(D13="","",L13-D13)</f>
        <v>14788.8888888889</v>
      </c>
      <c r="N13" s="12" t="n">
        <f aca="false">IF(D13="","",$B$4-L13)</f>
        <v>-1162.88888888889</v>
      </c>
      <c r="O13" s="29" t="n">
        <f aca="false">IF(D13="","",IFERROR(($B$4-G13)/($B$4-D13),0))</f>
        <v>1.03840452076912</v>
      </c>
    </row>
    <row r="14" customFormat="false" ht="15" hidden="false" customHeight="false" outlineLevel="0" collapsed="false">
      <c r="A14" s="28" t="n">
        <v>6</v>
      </c>
      <c r="B14" s="23" t="n">
        <f aca="false">F14/$B$4</f>
        <v>0.534624504392444</v>
      </c>
      <c r="C14" s="7" t="n">
        <v>0.52</v>
      </c>
      <c r="D14" s="8" t="n">
        <v>14200</v>
      </c>
      <c r="E14" s="19" t="n">
        <f aca="false">-'Flujo de Caja'!H12</f>
        <v>1950.75</v>
      </c>
      <c r="F14" s="12" t="n">
        <f aca="false">SUM($E$9:E14)</f>
        <v>13753.75</v>
      </c>
      <c r="G14" s="12" t="n">
        <f aca="false">IF(D14="","",C14*$B$4)</f>
        <v>13377.52</v>
      </c>
      <c r="H14" s="12" t="n">
        <f aca="false">IF(D14="","",G14-D14)</f>
        <v>-822.48</v>
      </c>
      <c r="I14" s="12" t="n">
        <f aca="false">IF(D14="","",G14-F14)</f>
        <v>-376.23</v>
      </c>
      <c r="J14" s="29" t="n">
        <f aca="false">IF(D14="","",IFERROR(G14/D14,0))</f>
        <v>0.942078873239437</v>
      </c>
      <c r="K14" s="29" t="n">
        <f aca="false">IF(D14="","",IFERROR(G14/F14,0))</f>
        <v>0.972645278560393</v>
      </c>
      <c r="L14" s="12" t="n">
        <f aca="false">IF(D14="","",IFERROR($B$4/J14,0))</f>
        <v>27307.6923076923</v>
      </c>
      <c r="M14" s="12" t="n">
        <f aca="false">IF(D14="","",L14-D14)</f>
        <v>13107.6923076923</v>
      </c>
      <c r="N14" s="12" t="n">
        <f aca="false">IF(D14="","",$B$4-L14)</f>
        <v>-1581.69230769231</v>
      </c>
      <c r="O14" s="29" t="n">
        <f aca="false">IF(D14="","",IFERROR(($B$4-G14)/($B$4-D14),0))</f>
        <v>1.07135866736075</v>
      </c>
    </row>
    <row r="15" customFormat="false" ht="15" hidden="false" customHeight="false" outlineLevel="0" collapsed="false">
      <c r="A15" s="28" t="n">
        <v>7</v>
      </c>
      <c r="B15" s="23" t="n">
        <f aca="false">F15/$B$4</f>
        <v>0.610977221487989</v>
      </c>
      <c r="C15" s="7"/>
      <c r="D15" s="8"/>
      <c r="E15" s="19" t="n">
        <f aca="false">-'Flujo de Caja'!I12</f>
        <v>1964.25</v>
      </c>
      <c r="F15" s="12" t="n">
        <f aca="false">SUM($E$9:E15)</f>
        <v>15718</v>
      </c>
      <c r="G15" s="12" t="str">
        <f aca="false">IF(D15="","",C15*$B$4)</f>
        <v/>
      </c>
      <c r="H15" s="12" t="str">
        <f aca="false">IF(D15="","",G15-D15)</f>
        <v/>
      </c>
      <c r="I15" s="12" t="str">
        <f aca="false">IF(D15="","",G15-F15)</f>
        <v/>
      </c>
      <c r="J15" s="29" t="str">
        <f aca="false">IF(D15="","",IFERROR(G15/D15,0))</f>
        <v/>
      </c>
      <c r="K15" s="29" t="str">
        <f aca="false">IF(D15="","",IFERROR(G15/F15,0))</f>
        <v/>
      </c>
      <c r="L15" s="12" t="str">
        <f aca="false">IF(D15="","",IFERROR($B$4/J15,0))</f>
        <v/>
      </c>
      <c r="M15" s="12" t="str">
        <f aca="false">IF(D15="","",L15-D15)</f>
        <v/>
      </c>
      <c r="N15" s="12" t="str">
        <f aca="false">IF(D15="","",$B$4-L15)</f>
        <v/>
      </c>
      <c r="O15" s="29" t="str">
        <f aca="false">IF(D15="","",IFERROR(($B$4-G15)/($B$4-D15),0))</f>
        <v/>
      </c>
    </row>
    <row r="16" customFormat="false" ht="15" hidden="false" customHeight="false" outlineLevel="0" collapsed="false">
      <c r="A16" s="28" t="n">
        <v>8</v>
      </c>
      <c r="B16" s="23" t="n">
        <f aca="false">F16/$B$4</f>
        <v>0.687942159682811</v>
      </c>
      <c r="C16" s="7"/>
      <c r="D16" s="8"/>
      <c r="E16" s="19" t="n">
        <f aca="false">-'Flujo de Caja'!J12</f>
        <v>1980</v>
      </c>
      <c r="F16" s="12" t="n">
        <f aca="false">SUM($E$9:E16)</f>
        <v>17698</v>
      </c>
      <c r="G16" s="12" t="str">
        <f aca="false">IF(D16="","",C16*$B$4)</f>
        <v/>
      </c>
      <c r="H16" s="12" t="str">
        <f aca="false">IF(D16="","",G16-D16)</f>
        <v/>
      </c>
      <c r="I16" s="12" t="str">
        <f aca="false">IF(D16="","",G16-F16)</f>
        <v/>
      </c>
      <c r="J16" s="29" t="str">
        <f aca="false">IF(D16="","",IFERROR(G16/D16,0))</f>
        <v/>
      </c>
      <c r="K16" s="29" t="str">
        <f aca="false">IF(D16="","",IFERROR(G16/F16,0))</f>
        <v/>
      </c>
      <c r="L16" s="12" t="str">
        <f aca="false">IF(D16="","",IFERROR($B$4/J16,0))</f>
        <v/>
      </c>
      <c r="M16" s="12" t="str">
        <f aca="false">IF(D16="","",L16-D16)</f>
        <v/>
      </c>
      <c r="N16" s="12" t="str">
        <f aca="false">IF(D16="","",$B$4-L16)</f>
        <v/>
      </c>
      <c r="O16" s="29" t="str">
        <f aca="false">IF(D16="","",IFERROR(($B$4-G16)/($B$4-D16),0))</f>
        <v/>
      </c>
    </row>
    <row r="17" customFormat="false" ht="15" hidden="false" customHeight="false" outlineLevel="0" collapsed="false">
      <c r="A17" s="28" t="n">
        <v>9</v>
      </c>
      <c r="B17" s="23" t="n">
        <f aca="false">F17/$B$4</f>
        <v>0.76560677913395</v>
      </c>
      <c r="C17" s="7"/>
      <c r="D17" s="8"/>
      <c r="E17" s="19" t="n">
        <f aca="false">-'Flujo de Caja'!K12</f>
        <v>1998</v>
      </c>
      <c r="F17" s="12" t="n">
        <f aca="false">SUM($E$9:E17)</f>
        <v>19696</v>
      </c>
      <c r="G17" s="12" t="str">
        <f aca="false">IF(D17="","",C17*$B$4)</f>
        <v/>
      </c>
      <c r="H17" s="12" t="str">
        <f aca="false">IF(D17="","",G17-D17)</f>
        <v/>
      </c>
      <c r="I17" s="12" t="str">
        <f aca="false">IF(D17="","",G17-F17)</f>
        <v/>
      </c>
      <c r="J17" s="29" t="str">
        <f aca="false">IF(D17="","",IFERROR(G17/D17,0))</f>
        <v/>
      </c>
      <c r="K17" s="29" t="str">
        <f aca="false">IF(D17="","",IFERROR(G17/F17,0))</f>
        <v/>
      </c>
      <c r="L17" s="12" t="str">
        <f aca="false">IF(D17="","",IFERROR($B$4/J17,0))</f>
        <v/>
      </c>
      <c r="M17" s="12" t="str">
        <f aca="false">IF(D17="","",L17-D17)</f>
        <v/>
      </c>
      <c r="N17" s="12" t="str">
        <f aca="false">IF(D17="","",$B$4-L17)</f>
        <v/>
      </c>
      <c r="O17" s="29" t="str">
        <f aca="false">IF(D17="","",IFERROR(($B$4-G17)/($B$4-D17),0))</f>
        <v/>
      </c>
    </row>
    <row r="18" customFormat="false" ht="15" hidden="false" customHeight="false" outlineLevel="0" collapsed="false">
      <c r="A18" s="28" t="n">
        <v>10</v>
      </c>
      <c r="B18" s="23" t="n">
        <f aca="false">F18/$B$4</f>
        <v>0.843737852755967</v>
      </c>
      <c r="C18" s="7"/>
      <c r="D18" s="8"/>
      <c r="E18" s="19" t="n">
        <f aca="false">-'Flujo de Caja'!L12</f>
        <v>2010</v>
      </c>
      <c r="F18" s="12" t="n">
        <f aca="false">SUM($E$9:E18)</f>
        <v>21706</v>
      </c>
      <c r="G18" s="12" t="str">
        <f aca="false">IF(D18="","",C18*$B$4)</f>
        <v/>
      </c>
      <c r="H18" s="12" t="str">
        <f aca="false">IF(D18="","",G18-D18)</f>
        <v/>
      </c>
      <c r="I18" s="12" t="str">
        <f aca="false">IF(D18="","",G18-F18)</f>
        <v/>
      </c>
      <c r="J18" s="29" t="str">
        <f aca="false">IF(D18="","",IFERROR(G18/D18,0))</f>
        <v/>
      </c>
      <c r="K18" s="29" t="str">
        <f aca="false">IF(D18="","",IFERROR(G18/F18,0))</f>
        <v/>
      </c>
      <c r="L18" s="12" t="str">
        <f aca="false">IF(D18="","",IFERROR($B$4/J18,0))</f>
        <v/>
      </c>
      <c r="M18" s="12" t="str">
        <f aca="false">IF(D18="","",L18-D18)</f>
        <v/>
      </c>
      <c r="N18" s="12" t="str">
        <f aca="false">IF(D18="","",$B$4-L18)</f>
        <v/>
      </c>
      <c r="O18" s="29" t="str">
        <f aca="false">IF(D18="","",IFERROR(($B$4-G18)/($B$4-D18),0))</f>
        <v/>
      </c>
    </row>
    <row r="19" customFormat="false" ht="15" hidden="false" customHeight="false" outlineLevel="0" collapsed="false">
      <c r="A19" s="28" t="n">
        <v>11</v>
      </c>
      <c r="B19" s="23" t="n">
        <f aca="false">F19/$B$4</f>
        <v>0.921868926377983</v>
      </c>
      <c r="C19" s="7"/>
      <c r="D19" s="8"/>
      <c r="E19" s="19" t="n">
        <f aca="false">-'Flujo de Caja'!M12</f>
        <v>2010</v>
      </c>
      <c r="F19" s="12" t="n">
        <f aca="false">SUM($E$9:E19)</f>
        <v>23716</v>
      </c>
      <c r="G19" s="12" t="str">
        <f aca="false">IF(D19="","",C19*$B$4)</f>
        <v/>
      </c>
      <c r="H19" s="12" t="str">
        <f aca="false">IF(D19="","",G19-D19)</f>
        <v/>
      </c>
      <c r="I19" s="12" t="str">
        <f aca="false">IF(D19="","",G19-F19)</f>
        <v/>
      </c>
      <c r="J19" s="29" t="str">
        <f aca="false">IF(D19="","",IFERROR(G19/D19,0))</f>
        <v/>
      </c>
      <c r="K19" s="29" t="str">
        <f aca="false">IF(D19="","",IFERROR(G19/F19,0))</f>
        <v/>
      </c>
      <c r="L19" s="12" t="str">
        <f aca="false">IF(D19="","",IFERROR($B$4/J19,0))</f>
        <v/>
      </c>
      <c r="M19" s="12" t="str">
        <f aca="false">IF(D19="","",L19-D19)</f>
        <v/>
      </c>
      <c r="N19" s="12" t="str">
        <f aca="false">IF(D19="","",$B$4-L19)</f>
        <v/>
      </c>
      <c r="O19" s="29" t="str">
        <f aca="false">IF(D19="","",IFERROR(($B$4-G19)/($B$4-D19),0))</f>
        <v/>
      </c>
    </row>
    <row r="20" customFormat="false" ht="15" hidden="false" customHeight="false" outlineLevel="0" collapsed="false">
      <c r="A20" s="28" t="n">
        <v>12</v>
      </c>
      <c r="B20" s="23" t="n">
        <f aca="false">F20/$B$4</f>
        <v>1</v>
      </c>
      <c r="C20" s="7"/>
      <c r="D20" s="8"/>
      <c r="E20" s="19" t="n">
        <f aca="false">-'Flujo de Caja'!N12</f>
        <v>2010</v>
      </c>
      <c r="F20" s="12" t="n">
        <f aca="false">SUM($E$9:E20)</f>
        <v>25726</v>
      </c>
      <c r="G20" s="12" t="str">
        <f aca="false">IF(D20="","",C20*$B$4)</f>
        <v/>
      </c>
      <c r="H20" s="12" t="str">
        <f aca="false">IF(D20="","",G20-D20)</f>
        <v/>
      </c>
      <c r="I20" s="12" t="str">
        <f aca="false">IF(D20="","",G20-F20)</f>
        <v/>
      </c>
      <c r="J20" s="29" t="str">
        <f aca="false">IF(D20="","",IFERROR(G20/D20,0))</f>
        <v/>
      </c>
      <c r="K20" s="29" t="str">
        <f aca="false">IF(D20="","",IFERROR(G20/F20,0))</f>
        <v/>
      </c>
      <c r="L20" s="12" t="str">
        <f aca="false">IF(D20="","",IFERROR($B$4/J20,0))</f>
        <v/>
      </c>
      <c r="M20" s="12" t="str">
        <f aca="false">IF(D20="","",L20-D20)</f>
        <v/>
      </c>
      <c r="N20" s="12" t="str">
        <f aca="false">IF(D20="","",$B$4-L20)</f>
        <v/>
      </c>
      <c r="O20" s="29" t="str">
        <f aca="false">IF(D20="","",IFERROR(($B$4-G20)/($B$4-D20),0))</f>
        <v/>
      </c>
    </row>
    <row r="22" customFormat="false" ht="15" hidden="false" customHeight="false" outlineLevel="0" collapsed="false">
      <c r="A22" s="9" t="s">
        <v>157</v>
      </c>
      <c r="B22" s="22"/>
      <c r="C22" s="22"/>
    </row>
    <row r="23" customFormat="false" ht="15" hidden="false" customHeight="false" outlineLevel="0" collapsed="false">
      <c r="A23" s="4" t="s">
        <v>158</v>
      </c>
      <c r="B23" s="12" t="n">
        <f aca="false">IF($B$5=0,"Sin datos",INDEX(F9:F20,$B$5))</f>
        <v>13753.75</v>
      </c>
      <c r="C23" s="2" t="s">
        <v>159</v>
      </c>
    </row>
    <row r="24" customFormat="false" ht="15" hidden="false" customHeight="false" outlineLevel="0" collapsed="false">
      <c r="A24" s="4" t="s">
        <v>148</v>
      </c>
      <c r="B24" s="12" t="n">
        <f aca="false">IF($B$5=0,"Sin datos",INDEX(G9:G20,$B$5))</f>
        <v>13377.52</v>
      </c>
      <c r="C24" s="2" t="s">
        <v>160</v>
      </c>
    </row>
    <row r="25" customFormat="false" ht="15" hidden="false" customHeight="false" outlineLevel="0" collapsed="false">
      <c r="A25" s="4" t="s">
        <v>161</v>
      </c>
      <c r="B25" s="12" t="n">
        <f aca="false">IF($B$5=0,"Sin datos",INDEX(D9:D20,$B$5))</f>
        <v>14200</v>
      </c>
      <c r="C25" s="2" t="s">
        <v>162</v>
      </c>
    </row>
    <row r="26" customFormat="false" ht="15" hidden="false" customHeight="false" outlineLevel="0" collapsed="false">
      <c r="A26" s="4" t="s">
        <v>163</v>
      </c>
      <c r="B26" s="12" t="n">
        <f aca="false">IF($B$5=0,"Sin datos",INDEX(H9:H20,$B$5))</f>
        <v>-822.48</v>
      </c>
      <c r="C26" s="2" t="s">
        <v>164</v>
      </c>
    </row>
    <row r="27" customFormat="false" ht="15" hidden="false" customHeight="false" outlineLevel="0" collapsed="false">
      <c r="A27" s="4" t="s">
        <v>165</v>
      </c>
      <c r="B27" s="12" t="n">
        <f aca="false">IF($B$5=0,"Sin datos",INDEX(I9:I20,$B$5))</f>
        <v>-376.23</v>
      </c>
      <c r="C27" s="2" t="s">
        <v>166</v>
      </c>
    </row>
    <row r="28" customFormat="false" ht="15" hidden="false" customHeight="false" outlineLevel="0" collapsed="false">
      <c r="A28" s="4" t="s">
        <v>167</v>
      </c>
      <c r="B28" s="29" t="n">
        <f aca="false">IF($B$5=0,"Sin datos",INDEX(J9:J20,$B$5))</f>
        <v>0.942078873239437</v>
      </c>
      <c r="C28" s="2" t="s">
        <v>168</v>
      </c>
    </row>
    <row r="29" customFormat="false" ht="15" hidden="false" customHeight="false" outlineLevel="0" collapsed="false">
      <c r="A29" s="4" t="s">
        <v>169</v>
      </c>
      <c r="B29" s="29" t="n">
        <f aca="false">IF($B$5=0,"Sin datos",INDEX(K9:K20,$B$5))</f>
        <v>0.972645278560393</v>
      </c>
      <c r="C29" s="2" t="s">
        <v>170</v>
      </c>
    </row>
    <row r="30" customFormat="false" ht="15" hidden="false" customHeight="false" outlineLevel="0" collapsed="false">
      <c r="A30" s="4" t="s">
        <v>171</v>
      </c>
      <c r="B30" s="12" t="n">
        <f aca="false">IF($B$5=0,"Sin datos",INDEX(L9:L20,$B$5))</f>
        <v>27307.6923076923</v>
      </c>
      <c r="C30" s="2" t="s">
        <v>172</v>
      </c>
    </row>
    <row r="31" customFormat="false" ht="15" hidden="false" customHeight="false" outlineLevel="0" collapsed="false">
      <c r="A31" s="4" t="s">
        <v>173</v>
      </c>
      <c r="B31" s="12" t="n">
        <f aca="false">IF($B$5=0,"Sin datos",INDEX(M9:M20,$B$5))</f>
        <v>13107.6923076923</v>
      </c>
      <c r="C31" s="2" t="s">
        <v>174</v>
      </c>
    </row>
    <row r="32" customFormat="false" ht="15" hidden="false" customHeight="false" outlineLevel="0" collapsed="false">
      <c r="A32" s="4" t="s">
        <v>175</v>
      </c>
      <c r="B32" s="12" t="n">
        <f aca="false">IF($B$5=0,"Sin datos",INDEX(N9:N20,$B$5))</f>
        <v>-1581.69230769231</v>
      </c>
      <c r="C32" s="2" t="s">
        <v>176</v>
      </c>
    </row>
    <row r="33" customFormat="false" ht="15" hidden="false" customHeight="false" outlineLevel="0" collapsed="false">
      <c r="A33" s="4" t="s">
        <v>177</v>
      </c>
      <c r="B33" s="29" t="n">
        <f aca="false">IF($B$5=0,"Sin datos",INDEX(O9:O20,$B$5))</f>
        <v>1.07135866736075</v>
      </c>
      <c r="C33" s="2" t="s">
        <v>178</v>
      </c>
    </row>
    <row r="34" customFormat="false" ht="15" hidden="false" customHeight="false" outlineLevel="0" collapsed="false">
      <c r="A34" s="14" t="s">
        <v>179</v>
      </c>
      <c r="B34" s="20" t="str">
        <f aca="false">IF($B$5=0,"Sin datos",IF(B28&gt;=1,"Bajo presupuesto","Sobre presupuesto"))</f>
        <v>Sobre presupuesto</v>
      </c>
    </row>
    <row r="35" customFormat="false" ht="15" hidden="false" customHeight="false" outlineLevel="0" collapsed="false">
      <c r="A35" s="14" t="s">
        <v>180</v>
      </c>
      <c r="B35" s="20" t="str">
        <f aca="false">IF($B$5=0,"Sin datos",IF(B29&gt;=1,"Adelantado / a tiempo","Atrasado"))</f>
        <v>Atrasado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2026-09-25T21:17:11Z</dcterms:created>
  <dc:creator>openpyxl</dc:creator>
  <dc:description/>
  <dc:language>en-US</dc:language>
  <cp:lastModifiedBy/>
  <dcterms:modified xsi:type="dcterms:W3CDTF">2026-09-25T21:17:13Z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