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tia\Downloads\"/>
    </mc:Choice>
  </mc:AlternateContent>
  <xr:revisionPtr revIDLastSave="0" documentId="13_ncr:1_{BF742717-DA21-4F72-863E-520A189B2D5B}" xr6:coauthVersionLast="47" xr6:coauthVersionMax="47" xr10:uidLastSave="{00000000-0000-0000-0000-000000000000}"/>
  <bookViews>
    <workbookView xWindow="-120" yWindow="-120" windowWidth="29040" windowHeight="15840" tabRatio="500" firstSheet="1" activeTab="3" xr2:uid="{00000000-000D-0000-FFFF-FFFF00000000}"/>
  </bookViews>
  <sheets>
    <sheet name="Supuestos" sheetId="1" r:id="rId1"/>
    <sheet name="Inversion" sheetId="2" r:id="rId2"/>
    <sheet name="Flujo de Caja" sheetId="3" r:id="rId3"/>
    <sheet name="Indicadores" sheetId="4" r:id="rId4"/>
    <sheet name="Valor Ganado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8" i="4" l="1"/>
  <c r="C4" i="3"/>
  <c r="B12" i="4"/>
  <c r="B22" i="1"/>
  <c r="B5" i="5"/>
  <c r="H11" i="3"/>
  <c r="G11" i="3"/>
  <c r="F11" i="3"/>
  <c r="E11" i="3"/>
  <c r="D11" i="3"/>
  <c r="C11" i="3"/>
  <c r="H10" i="3"/>
  <c r="G10" i="3"/>
  <c r="F10" i="3"/>
  <c r="E10" i="3"/>
  <c r="D10" i="3"/>
  <c r="C10" i="3"/>
  <c r="H9" i="3"/>
  <c r="G9" i="3"/>
  <c r="F9" i="3"/>
  <c r="E9" i="3"/>
  <c r="D9" i="3"/>
  <c r="C9" i="3"/>
  <c r="B10" i="2"/>
  <c r="B24" i="1"/>
  <c r="B21" i="1"/>
  <c r="B20" i="1"/>
  <c r="D8" i="3" l="1"/>
  <c r="G8" i="3"/>
  <c r="H8" i="3"/>
  <c r="E8" i="3"/>
  <c r="F8" i="3"/>
  <c r="C8" i="3"/>
  <c r="B19" i="5"/>
  <c r="B12" i="2"/>
  <c r="B13" i="2" s="1"/>
  <c r="B23" i="1"/>
  <c r="B17" i="4" s="1"/>
  <c r="B19" i="4" s="1"/>
  <c r="B16" i="3" l="1"/>
  <c r="B17" i="3" s="1"/>
  <c r="B5" i="4"/>
  <c r="C5" i="3"/>
  <c r="D4" i="3"/>
  <c r="B20" i="4"/>
  <c r="B21" i="4" s="1"/>
  <c r="B18" i="3" l="1"/>
  <c r="C6" i="3"/>
  <c r="E4" i="3"/>
  <c r="D5" i="3"/>
  <c r="F4" i="3" l="1"/>
  <c r="E5" i="3"/>
  <c r="D6" i="3"/>
  <c r="C12" i="3"/>
  <c r="E9" i="5" s="1"/>
  <c r="C7" i="3"/>
  <c r="C13" i="3" s="1"/>
  <c r="D12" i="3" l="1"/>
  <c r="E10" i="5" s="1"/>
  <c r="F10" i="5" s="1"/>
  <c r="D7" i="3"/>
  <c r="D13" i="3" s="1"/>
  <c r="D14" i="3" s="1"/>
  <c r="D15" i="3" s="1"/>
  <c r="D17" i="3" s="1"/>
  <c r="G4" i="3"/>
  <c r="F5" i="3"/>
  <c r="E6" i="3"/>
  <c r="F9" i="5"/>
  <c r="C14" i="3"/>
  <c r="C15" i="3" s="1"/>
  <c r="C17" i="3" s="1"/>
  <c r="G5" i="3" l="1"/>
  <c r="H4" i="3"/>
  <c r="F6" i="3"/>
  <c r="C18" i="3"/>
  <c r="E12" i="3"/>
  <c r="E11" i="5" s="1"/>
  <c r="E7" i="3"/>
  <c r="E13" i="3" s="1"/>
  <c r="F12" i="3" l="1"/>
  <c r="E12" i="5" s="1"/>
  <c r="F12" i="5" s="1"/>
  <c r="F7" i="3"/>
  <c r="F13" i="3" s="1"/>
  <c r="G6" i="3"/>
  <c r="H5" i="3"/>
  <c r="D18" i="3"/>
  <c r="F11" i="5"/>
  <c r="E14" i="3"/>
  <c r="E15" i="3" s="1"/>
  <c r="E17" i="3" s="1"/>
  <c r="E18" i="3" l="1"/>
  <c r="F14" i="3"/>
  <c r="F15" i="3" s="1"/>
  <c r="F17" i="3" s="1"/>
  <c r="H6" i="3"/>
  <c r="G12" i="3"/>
  <c r="E13" i="5" s="1"/>
  <c r="G7" i="3"/>
  <c r="G13" i="3" s="1"/>
  <c r="F18" i="3" l="1"/>
  <c r="H12" i="3"/>
  <c r="E14" i="5" s="1"/>
  <c r="F14" i="5" s="1"/>
  <c r="B4" i="5" s="1"/>
  <c r="H7" i="3"/>
  <c r="H13" i="3" s="1"/>
  <c r="H14" i="3" s="1"/>
  <c r="H15" i="3" s="1"/>
  <c r="H17" i="3" s="1"/>
  <c r="F13" i="5"/>
  <c r="G14" i="3"/>
  <c r="G15" i="3" s="1"/>
  <c r="G17" i="3" s="1"/>
  <c r="B17" i="5" l="1"/>
  <c r="G18" i="3"/>
  <c r="H18" i="3" s="1"/>
  <c r="B13" i="4" s="1" a="1"/>
  <c r="B14" i="4" l="1" a="1"/>
  <c r="G10" i="5" l="1"/>
  <c r="O10" i="5" s="1"/>
  <c r="G9" i="5"/>
  <c r="O9" i="5" s="1"/>
  <c r="G14" i="5"/>
  <c r="O14" i="5" s="1"/>
  <c r="B27" i="5" s="1"/>
  <c r="G13" i="5"/>
  <c r="O13" i="5" s="1"/>
  <c r="G12" i="5"/>
  <c r="O12" i="5" s="1"/>
  <c r="G11" i="5"/>
  <c r="O11" i="5" s="1"/>
  <c r="B10" i="5"/>
  <c r="B9" i="5"/>
  <c r="B11" i="5"/>
  <c r="B12" i="5"/>
  <c r="B13" i="5"/>
  <c r="B14" i="5"/>
  <c r="H10" i="5" l="1"/>
  <c r="I10" i="5"/>
  <c r="J10" i="5"/>
  <c r="L10" i="5" s="1"/>
  <c r="K10" i="5"/>
  <c r="H9" i="5"/>
  <c r="I9" i="5"/>
  <c r="J9" i="5"/>
  <c r="L9" i="5" s="1"/>
  <c r="K9" i="5"/>
  <c r="B18" i="5"/>
  <c r="I14" i="5"/>
  <c r="B21" i="5" s="1"/>
  <c r="K14" i="5"/>
  <c r="B23" i="5" s="1"/>
  <c r="B29" i="5" s="1"/>
  <c r="H14" i="5"/>
  <c r="B20" i="5" s="1"/>
  <c r="J14" i="5"/>
  <c r="H13" i="5"/>
  <c r="I13" i="5"/>
  <c r="J13" i="5"/>
  <c r="L13" i="5" s="1"/>
  <c r="K13" i="5"/>
  <c r="H12" i="5"/>
  <c r="I12" i="5"/>
  <c r="J12" i="5"/>
  <c r="L12" i="5" s="1"/>
  <c r="K12" i="5"/>
  <c r="H11" i="5"/>
  <c r="I11" i="5"/>
  <c r="J11" i="5"/>
  <c r="L11" i="5" s="1"/>
  <c r="K11" i="5"/>
  <c r="N10" i="5" l="1"/>
  <c r="M10" i="5"/>
  <c r="N9" i="5"/>
  <c r="M9" i="5"/>
  <c r="L14" i="5"/>
  <c r="B22" i="5"/>
  <c r="B28" i="5" s="1"/>
  <c r="N13" i="5"/>
  <c r="M13" i="5"/>
  <c r="N12" i="5"/>
  <c r="M12" i="5"/>
  <c r="N11" i="5"/>
  <c r="M11" i="5"/>
  <c r="M14" i="5" l="1"/>
  <c r="B25" i="5" s="1"/>
  <c r="B24" i="5"/>
  <c r="N14" i="5"/>
  <c r="B26" i="5" s="1"/>
  <c r="B10" i="4" l="1"/>
  <c r="B11" i="4" s="1"/>
  <c r="B9" i="4"/>
  <c r="B23" i="4" s="1"/>
  <c r="B7" i="4" l="1"/>
  <c r="B6" i="4"/>
  <c r="B1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9" authorId="0" shapeId="0" xr:uid="{00000000-0006-0000-0400-000001000000}">
      <text>
        <r>
          <rPr>
            <sz val="10"/>
            <rFont val="Arial"/>
            <family val="2"/>
          </rPr>
          <t>Valores de los meses 1-6 = EJEMPLO. Reemplazar por datos reales.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<sst xmlns="http://schemas.openxmlformats.org/spreadsheetml/2006/main" count="175" uniqueCount="165">
  <si>
    <t>Academia de League of Legends - Supuestos del modelo</t>
  </si>
  <si>
    <t>Celdas en azul con fondo amarillo = datos que puedes modificar. Todo lo demas se recalcula solo.</t>
  </si>
  <si>
    <t>Supuesto</t>
  </si>
  <si>
    <t>Valor</t>
  </si>
  <si>
    <t>Fuente / comentario</t>
  </si>
  <si>
    <t>Cobro mensual por alumno (USD)</t>
  </si>
  <si>
    <t>Dato del usuario</t>
  </si>
  <si>
    <t>Alumnos en el mes 1</t>
  </si>
  <si>
    <t>Supuesto: ajustar segun preventa / comunidad</t>
  </si>
  <si>
    <t>Crecimiento neto mensual de alumnos</t>
  </si>
  <si>
    <t>Supuesto: altas menos bajas (churn)</t>
  </si>
  <si>
    <t>Alumnos maximos por coach</t>
  </si>
  <si>
    <t>Supuesto: clases grupales + revision de VODs</t>
  </si>
  <si>
    <t>Numero de coaches</t>
  </si>
  <si>
    <t>Sueldo por coach (USD por hora)</t>
  </si>
  <si>
    <t>Dato del usuario (20 USD). Se asume pago por hora</t>
  </si>
  <si>
    <t>Horas pagadas por coach al mes</t>
  </si>
  <si>
    <t>Supuesto: 5 h/semana. Si los 20 USD son un sueldo MENSUAL fijo, escribe 1</t>
  </si>
  <si>
    <t>Comision pasarela de pago (% del ingreso)</t>
  </si>
  <si>
    <t>Supuesto: PayPal/Stripe aprox. 5%</t>
  </si>
  <si>
    <t>Plataforma y software mensual (USD)</t>
  </si>
  <si>
    <t>Supuesto: Discord Nitro, hosting web, herramientas VOD</t>
  </si>
  <si>
    <t>Marketing mensual (USD)</t>
  </si>
  <si>
    <t>Supuesto: anuncios en redes / creadores</t>
  </si>
  <si>
    <t>Otros gastos mensuales (USD)</t>
  </si>
  <si>
    <t>Supuesto: administracion, varios</t>
  </si>
  <si>
    <t>Tasa de impuesto sobre utilidad</t>
  </si>
  <si>
    <t>Supuesto: ajustar segun pais / regimen</t>
  </si>
  <si>
    <t>Tasa de descuento anual (costo de oportunidad)</t>
  </si>
  <si>
    <t>Supuesto: rentabilidad minima exigida</t>
  </si>
  <si>
    <t>Valores calculados</t>
  </si>
  <si>
    <t>Tasa de descuento mensual</t>
  </si>
  <si>
    <t>Equivalente mensual de la tasa anual</t>
  </si>
  <si>
    <t>Capacidad maxima de alumnos</t>
  </si>
  <si>
    <t>Coaches x alumnos por coach</t>
  </si>
  <si>
    <t>Costo mensual total de coaches (USD)</t>
  </si>
  <si>
    <t>Costos fijos mensuales totales (USD)</t>
  </si>
  <si>
    <t>Coaches + plataforma + marketing + otros</t>
  </si>
  <si>
    <t>Margen por alumno despues de comision (USD)</t>
  </si>
  <si>
    <t>Precio - comision</t>
  </si>
  <si>
    <t>Inversion inicial (mes 0)</t>
  </si>
  <si>
    <t>Edita los montos en azul. Los imprevistos se calculan como % del subtotal.</t>
  </si>
  <si>
    <t>Concepto</t>
  </si>
  <si>
    <t>Monto (USD)</t>
  </si>
  <si>
    <t>Comentario</t>
  </si>
  <si>
    <t>Constitucion legal y tramites</t>
  </si>
  <si>
    <t>Pagina web / landing de inscripcion</t>
  </si>
  <si>
    <t>Branding (logo, overlays, redes)</t>
  </si>
  <si>
    <t>Equipo de streaming (microfono, camara)</t>
  </si>
  <si>
    <t>Licencias y herramientas iniciales</t>
  </si>
  <si>
    <t>Campana de marketing de lanzamiento</t>
  </si>
  <si>
    <t>Subtotal</t>
  </si>
  <si>
    <t>% imprevistos</t>
  </si>
  <si>
    <t>Supuesto: colchon para gastos no previstos</t>
  </si>
  <si>
    <t>Imprevistos</t>
  </si>
  <si>
    <t>INVERSION INICIAL TOTAL</t>
  </si>
  <si>
    <t>Mes 0</t>
  </si>
  <si>
    <t>Mes 1</t>
  </si>
  <si>
    <t>Mes 2</t>
  </si>
  <si>
    <t>Mes 3</t>
  </si>
  <si>
    <t>Mes 4</t>
  </si>
  <si>
    <t>Mes 5</t>
  </si>
  <si>
    <t>Mes 6</t>
  </si>
  <si>
    <t>Alumnos activos</t>
  </si>
  <si>
    <t>Ingresos por mensualidades</t>
  </si>
  <si>
    <t>(-) Comision pasarela</t>
  </si>
  <si>
    <t>Ingresos netos</t>
  </si>
  <si>
    <t>(-) Sueldos coaches</t>
  </si>
  <si>
    <t>(-) Plataforma y software</t>
  </si>
  <si>
    <t>(-) Marketing</t>
  </si>
  <si>
    <t>(-) Otros gastos</t>
  </si>
  <si>
    <t>Total egresos operativos</t>
  </si>
  <si>
    <t>Utilidad operativa</t>
  </si>
  <si>
    <t>(-) Impuestos</t>
  </si>
  <si>
    <t>Flujo operativo neto</t>
  </si>
  <si>
    <t>(-) Inversion inicial</t>
  </si>
  <si>
    <t>FLUJO DE CAJA NETO</t>
  </si>
  <si>
    <t>Flujo de caja acumulado</t>
  </si>
  <si>
    <t>Mes 0 = puesta en marcha (solo inversion). Verde = vinculo a otra hoja.</t>
  </si>
  <si>
    <t>Indicadores de viabilidad economica</t>
  </si>
  <si>
    <t>Indicador</t>
  </si>
  <si>
    <t>Como se interpreta</t>
  </si>
  <si>
    <t>INVERSION</t>
  </si>
  <si>
    <t>Inversion inicial (equipos, web, lanzamiento)</t>
  </si>
  <si>
    <t>Dinero que se desembolsa en el mes 0</t>
  </si>
  <si>
    <t>Deficit operativo maximo (capital de trabajo)</t>
  </si>
  <si>
    <t>Perdidas de los primeros meses que tambien debes financiar</t>
  </si>
  <si>
    <t>INVERSION TOTAL REQUERIDA</t>
  </si>
  <si>
    <t>Maximo dinero negativo acumulado = lo que necesitas tener disponible</t>
  </si>
  <si>
    <t>RENTABILIDAD</t>
  </si>
  <si>
    <t>&gt; 0: el proyecto crea valor sobre la tasa exigida</t>
  </si>
  <si>
    <t>TIR mensual</t>
  </si>
  <si>
    <t>Rentabilidad mensual del proyecto</t>
  </si>
  <si>
    <t>TIR anual equivalente</t>
  </si>
  <si>
    <t>Viable si es mayor que la tasa de descuento anual</t>
  </si>
  <si>
    <t>Tasa de descuento anual</t>
  </si>
  <si>
    <t>Rentabilidad minima exigida (Supuestos)</t>
  </si>
  <si>
    <t>Periodo de recuperacion (meses)</t>
  </si>
  <si>
    <t>Primer mes en que el flujo acumulado deja de ser negativo</t>
  </si>
  <si>
    <t>Utilidad acumulada / inversion total requerida</t>
  </si>
  <si>
    <t>OPERACION</t>
  </si>
  <si>
    <t>Punto de equilibrio (alumnos/mes)</t>
  </si>
  <si>
    <t>Alumnos necesarios para cubrir todos los costos mensuales</t>
  </si>
  <si>
    <t>Capacidad maxima (alumnos)</t>
  </si>
  <si>
    <t>Si es menor al punto de equilibrio, el negocio NO es viable</t>
  </si>
  <si>
    <t>Punto de equilibrio en ventas (USD/mes)</t>
  </si>
  <si>
    <t>Ingreso mensual minimo</t>
  </si>
  <si>
    <t>Utilidad mensual a plena capacidad</t>
  </si>
  <si>
    <t>Resultado mensual con la academia llena</t>
  </si>
  <si>
    <t>Margen a plena capacidad</t>
  </si>
  <si>
    <t>Utilidad / ingresos</t>
  </si>
  <si>
    <t>CONCLUSION</t>
  </si>
  <si>
    <t>Dictamen</t>
  </si>
  <si>
    <t>Resultado automatico segun los supuestos</t>
  </si>
  <si>
    <t>BAC - Presupuesto total del proyecto (USD)</t>
  </si>
  <si>
    <t>Mes de corte (ultimo mes con datos)</t>
  </si>
  <si>
    <t>Mes</t>
  </si>
  <si>
    <t>% avance planificado</t>
  </si>
  <si>
    <t>% avance real (dato)</t>
  </si>
  <si>
    <t>AC - Costo real acumulado (dato)</t>
  </si>
  <si>
    <t>Egresos planificados del mes</t>
  </si>
  <si>
    <t>PV - Valor planificado acum.</t>
  </si>
  <si>
    <t>EV - Valor ganado</t>
  </si>
  <si>
    <t>CV = EV - AC</t>
  </si>
  <si>
    <t>SV = EV - PV</t>
  </si>
  <si>
    <t>CPI = EV / AC</t>
  </si>
  <si>
    <t>SPI = EV / PV</t>
  </si>
  <si>
    <t>EAC = BAC / CPI</t>
  </si>
  <si>
    <t>ETC = EAC - AC</t>
  </si>
  <si>
    <t>VAC = BAC - EAC</t>
  </si>
  <si>
    <t>TCPI</t>
  </si>
  <si>
    <t>Resumen al mes de corte</t>
  </si>
  <si>
    <t>PV - Valor planificado</t>
  </si>
  <si>
    <t>Lo que debias haber gastado/avanzado segun el plan</t>
  </si>
  <si>
    <t>Valor del trabajo realmente completado</t>
  </si>
  <si>
    <t>AC - Costo real</t>
  </si>
  <si>
    <t>Lo que realmente gastaste</t>
  </si>
  <si>
    <t>CV - Variacion de costo</t>
  </si>
  <si>
    <t>&gt; 0 ahorro; &lt; 0 sobrecosto</t>
  </si>
  <si>
    <t>SV - Variacion de cronograma</t>
  </si>
  <si>
    <t>&gt; 0 adelantado; &lt; 0 atrasado</t>
  </si>
  <si>
    <t>CPI - Indice de desempeno de costo</t>
  </si>
  <si>
    <t>&gt;= 1 eficiente en costos</t>
  </si>
  <si>
    <t>SPI - Indice de desempeno de cronograma</t>
  </si>
  <si>
    <t>&gt;= 1 dentro o adelantado al plan</t>
  </si>
  <si>
    <t>EAC - Estimacion al terminar</t>
  </si>
  <si>
    <t>Costo final esperado si sigue el CPI actual</t>
  </si>
  <si>
    <t>ETC - Estimacion para completar</t>
  </si>
  <si>
    <t>Lo que falta por gastar</t>
  </si>
  <si>
    <t>VAC - Variacion al terminar</t>
  </si>
  <si>
    <t>&gt; 0 terminara bajo presupuesto</t>
  </si>
  <si>
    <t>TCPI - Indice de desempeno por completar</t>
  </si>
  <si>
    <t>Eficiencia necesaria para cumplir el BAC</t>
  </si>
  <si>
    <t>Estado del costo</t>
  </si>
  <si>
    <t>Estado del cronograma</t>
  </si>
  <si>
    <t>Coaches que no cobran (CEO)</t>
  </si>
  <si>
    <t>Dato del usuario: el CEO da clases sin sueldo</t>
  </si>
  <si>
    <t>(Coaches - no cobran) x sueldo x horas</t>
  </si>
  <si>
    <t>Indicadores de Valor Ganado (EVM) - Plan de los primeros 6 meses</t>
  </si>
  <si>
    <t>Proyecto = inversion + operacion de los meses 1 a 6. Cada mes ingresa en amarillo el % de avance real del plan y el costo real acumulado. Los meses 1-6 traen valores de EJEMPLO: reemplazalos por tus datos.</t>
  </si>
  <si>
    <t>Flujo de caja proyectado - 6 meses (USD)</t>
  </si>
  <si>
    <t>VAN / VPN (6 meses)</t>
  </si>
  <si>
    <t>Utilidad acumulada a 6 meses</t>
  </si>
  <si>
    <t>ROI a 6 meses</t>
  </si>
  <si>
    <t>Flujo acumulado al final del mes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</si>
</sst>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;&quot;($&quot;#,##0.00\);\-"/>
    <numFmt numFmtId="165" formatCode="#,##0;\(#,##0\);\-"/>
    <numFmt numFmtId="166" formatCode="0.0%;\(0.0%\);\-"/>
    <numFmt numFmtId="167" formatCode="\$#,##0;&quot;($&quot;#,##0\);\-"/>
    <numFmt numFmtId="168" formatCode="0.000%"/>
  </numFmts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555555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b/>
      <sz val="11"/>
      <name val="Arial"/>
      <charset val="1"/>
    </font>
    <font>
      <sz val="11"/>
      <color rgb="FF008000"/>
      <name val="Arial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6E4F"/>
        <bgColor rgb="FF008080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 applyAlignment="1">
      <alignment wrapText="1"/>
    </xf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6" fontId="5" fillId="4" borderId="1" xfId="0" applyNumberFormat="1" applyFont="1" applyFill="1" applyBorder="1"/>
    <xf numFmtId="167" fontId="5" fillId="4" borderId="1" xfId="0" applyNumberFormat="1" applyFont="1" applyFill="1" applyBorder="1"/>
    <xf numFmtId="0" fontId="6" fillId="5" borderId="0" xfId="0" applyFont="1" applyFill="1"/>
    <xf numFmtId="168" fontId="4" fillId="0" borderId="1" xfId="0" applyNumberFormat="1" applyFont="1" applyBorder="1"/>
    <xf numFmtId="165" fontId="4" fillId="0" borderId="1" xfId="0" applyNumberFormat="1" applyFont="1" applyBorder="1"/>
    <xf numFmtId="167" fontId="4" fillId="0" borderId="1" xfId="0" applyNumberFormat="1" applyFont="1" applyBorder="1"/>
    <xf numFmtId="164" fontId="4" fillId="0" borderId="1" xfId="0" applyNumberFormat="1" applyFont="1" applyBorder="1"/>
    <xf numFmtId="0" fontId="6" fillId="0" borderId="0" xfId="0" applyFont="1"/>
    <xf numFmtId="167" fontId="6" fillId="0" borderId="1" xfId="0" applyNumberFormat="1" applyFont="1" applyBorder="1"/>
    <xf numFmtId="0" fontId="4" fillId="0" borderId="0" xfId="0" applyFont="1"/>
    <xf numFmtId="167" fontId="6" fillId="5" borderId="1" xfId="0" applyNumberFormat="1" applyFont="1" applyFill="1" applyBorder="1"/>
    <xf numFmtId="165" fontId="7" fillId="0" borderId="1" xfId="0" applyNumberFormat="1" applyFont="1" applyBorder="1"/>
    <xf numFmtId="167" fontId="7" fillId="0" borderId="1" xfId="0" applyNumberFormat="1" applyFont="1" applyBorder="1"/>
    <xf numFmtId="0" fontId="6" fillId="0" borderId="1" xfId="0" applyFont="1" applyBorder="1"/>
    <xf numFmtId="0" fontId="6" fillId="5" borderId="1" xfId="0" applyFont="1" applyFill="1" applyBorder="1"/>
    <xf numFmtId="0" fontId="0" fillId="5" borderId="0" xfId="0" applyFill="1"/>
    <xf numFmtId="166" fontId="4" fillId="0" borderId="1" xfId="0" applyNumberFormat="1" applyFont="1" applyBorder="1"/>
    <xf numFmtId="166" fontId="7" fillId="0" borderId="1" xfId="0" applyNumberFormat="1" applyFont="1" applyBorder="1"/>
    <xf numFmtId="0" fontId="4" fillId="0" borderId="1" xfId="0" applyFont="1" applyBorder="1" applyAlignment="1">
      <alignment wrapText="1"/>
    </xf>
    <xf numFmtId="165" fontId="6" fillId="5" borderId="1" xfId="0" applyNumberFormat="1" applyFont="1" applyFill="1" applyBorder="1"/>
    <xf numFmtId="1" fontId="4" fillId="0" borderId="1" xfId="0" applyNumberFormat="1" applyFont="1" applyBorder="1"/>
    <xf numFmtId="2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E4F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Flujo de caja acumulado (USD)</a:t>
            </a:r>
          </a:p>
        </c:rich>
      </c:tx>
      <c:layout>
        <c:manualLayout>
          <c:xMode val="edge"/>
          <c:yMode val="edge"/>
          <c:x val="0.22157524554103092"/>
          <c:y val="3.0873844401380815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'Flujo de Caja'!$A$18</c:f>
              <c:strCache>
                <c:ptCount val="1"/>
                <c:pt idx="0">
                  <c:v>Flujo de caja acumulado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'Flujo de Caja'!$B$3:$H$3</c:f>
              <c:strCache>
                <c:ptCount val="7"/>
                <c:pt idx="0">
                  <c:v>Mes 0</c:v>
                </c:pt>
                <c:pt idx="1">
                  <c:v>Mes 1</c:v>
                </c:pt>
                <c:pt idx="2">
                  <c:v>Mes 2</c:v>
                </c:pt>
                <c:pt idx="3">
                  <c:v>Mes 3</c:v>
                </c:pt>
                <c:pt idx="4">
                  <c:v>Mes 4</c:v>
                </c:pt>
                <c:pt idx="5">
                  <c:v>Mes 5</c:v>
                </c:pt>
                <c:pt idx="6">
                  <c:v>Mes 6</c:v>
                </c:pt>
              </c:strCache>
            </c:strRef>
          </c:cat>
          <c:val>
            <c:numRef>
              <c:f>'Flujo de Caja'!$B$18:$H$18</c:f>
              <c:numCache>
                <c:formatCode>\$#,##0;"($"#,##0\);\-</c:formatCode>
                <c:ptCount val="7"/>
                <c:pt idx="0">
                  <c:v>-88</c:v>
                </c:pt>
                <c:pt idx="1">
                  <c:v>-40.549999999999997</c:v>
                </c:pt>
                <c:pt idx="2">
                  <c:v>6.9000000000000057</c:v>
                </c:pt>
                <c:pt idx="3">
                  <c:v>54.350000000000009</c:v>
                </c:pt>
                <c:pt idx="4">
                  <c:v>101.80000000000001</c:v>
                </c:pt>
                <c:pt idx="5">
                  <c:v>149.25</c:v>
                </c:pt>
                <c:pt idx="6">
                  <c:v>196.7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8-4B04-8971-6C41E0EFC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254178"/>
        <c:axId val="54142729"/>
      </c:barChart>
      <c:catAx>
        <c:axId val="782541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54142729"/>
        <c:crosses val="autoZero"/>
        <c:auto val="1"/>
        <c:lblAlgn val="ctr"/>
        <c:lblOffset val="100"/>
        <c:noMultiLvlLbl val="0"/>
      </c:catAx>
      <c:valAx>
        <c:axId val="541427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782541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1381125</xdr:colOff>
      <xdr:row>18</xdr:row>
      <xdr:rowOff>123825</xdr:rowOff>
    </xdr:from>
    <xdr:to>
      <xdr:col>11</xdr:col>
      <xdr:colOff>136425</xdr:colOff>
      <xdr:row>33</xdr:row>
      <xdr:rowOff>145785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FDBBF53-31BF-49F5-A005-893A1D26150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70e52af-8867-427f-960f-ae7f8bbb00ce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zoomScaleNormal="100" workbookViewId="0">
      <pane ySplit="3" topLeftCell="A4" activePane="bottomLeft" state="frozen"/>
      <selection pane="bottomLeft" activeCell="B9" sqref="B9"/>
    </sheetView>
  </sheetViews>
  <sheetFormatPr baseColWidth="10" defaultColWidth="8.5703125" defaultRowHeight="15" x14ac:dyDescent="0.25"/>
  <cols>
    <col min="1" max="1" width="48" customWidth="1"/>
    <col min="2" max="2" width="14" customWidth="1"/>
    <col min="3" max="3" width="70" customWidth="1"/>
  </cols>
  <sheetData>
    <row r="1" spans="1:3" ht="24" customHeight="1" x14ac:dyDescent="0.25">
      <c r="A1" s="2" t="s">
        <v>0</v>
      </c>
      <c r="B1" s="2"/>
      <c r="C1" s="2"/>
    </row>
    <row r="2" spans="1:3" x14ac:dyDescent="0.25">
      <c r="A2" s="3" t="s">
        <v>1</v>
      </c>
    </row>
    <row r="3" spans="1:3" x14ac:dyDescent="0.25">
      <c r="A3" s="4" t="s">
        <v>2</v>
      </c>
      <c r="B3" s="4" t="s">
        <v>3</v>
      </c>
      <c r="C3" s="4" t="s">
        <v>4</v>
      </c>
    </row>
    <row r="4" spans="1:3" x14ac:dyDescent="0.25">
      <c r="A4" s="5" t="s">
        <v>5</v>
      </c>
      <c r="B4" s="6">
        <v>15</v>
      </c>
      <c r="C4" s="3" t="s">
        <v>6</v>
      </c>
    </row>
    <row r="5" spans="1:3" x14ac:dyDescent="0.25">
      <c r="A5" s="5" t="s">
        <v>7</v>
      </c>
      <c r="B5" s="7">
        <v>15</v>
      </c>
      <c r="C5" s="3" t="s">
        <v>8</v>
      </c>
    </row>
    <row r="6" spans="1:3" x14ac:dyDescent="0.25">
      <c r="A6" s="5" t="s">
        <v>9</v>
      </c>
      <c r="B6" s="8">
        <v>0.15</v>
      </c>
      <c r="C6" s="3" t="s">
        <v>10</v>
      </c>
    </row>
    <row r="7" spans="1:3" x14ac:dyDescent="0.25">
      <c r="A7" s="5" t="s">
        <v>11</v>
      </c>
      <c r="B7" s="7">
        <v>5</v>
      </c>
      <c r="C7" s="3" t="s">
        <v>12</v>
      </c>
    </row>
    <row r="8" spans="1:3" x14ac:dyDescent="0.25">
      <c r="A8" s="5" t="s">
        <v>13</v>
      </c>
      <c r="B8" s="7">
        <v>3</v>
      </c>
      <c r="C8" s="3" t="s">
        <v>6</v>
      </c>
    </row>
    <row r="9" spans="1:3" x14ac:dyDescent="0.25">
      <c r="A9" s="5" t="s">
        <v>155</v>
      </c>
      <c r="B9" s="7">
        <v>1</v>
      </c>
      <c r="C9" s="3" t="s">
        <v>156</v>
      </c>
    </row>
    <row r="10" spans="1:3" x14ac:dyDescent="0.25">
      <c r="A10" s="5" t="s">
        <v>14</v>
      </c>
      <c r="B10" s="6">
        <v>20</v>
      </c>
      <c r="C10" s="3" t="s">
        <v>15</v>
      </c>
    </row>
    <row r="11" spans="1:3" x14ac:dyDescent="0.25">
      <c r="A11" s="5" t="s">
        <v>16</v>
      </c>
      <c r="B11" s="7">
        <v>1</v>
      </c>
      <c r="C11" s="3" t="s">
        <v>17</v>
      </c>
    </row>
    <row r="12" spans="1:3" x14ac:dyDescent="0.25">
      <c r="A12" s="5" t="s">
        <v>18</v>
      </c>
      <c r="B12" s="8">
        <v>0</v>
      </c>
      <c r="C12" s="3" t="s">
        <v>19</v>
      </c>
    </row>
    <row r="13" spans="1:3" x14ac:dyDescent="0.25">
      <c r="A13" s="5" t="s">
        <v>20</v>
      </c>
      <c r="B13" s="9">
        <v>10</v>
      </c>
      <c r="C13" s="3" t="s">
        <v>21</v>
      </c>
    </row>
    <row r="14" spans="1:3" x14ac:dyDescent="0.25">
      <c r="A14" s="5" t="s">
        <v>22</v>
      </c>
      <c r="B14" s="9">
        <v>80</v>
      </c>
      <c r="C14" s="3" t="s">
        <v>23</v>
      </c>
    </row>
    <row r="15" spans="1:3" x14ac:dyDescent="0.25">
      <c r="A15" s="5" t="s">
        <v>24</v>
      </c>
      <c r="B15" s="9">
        <v>30</v>
      </c>
      <c r="C15" s="3" t="s">
        <v>25</v>
      </c>
    </row>
    <row r="16" spans="1:3" x14ac:dyDescent="0.25">
      <c r="A16" s="5" t="s">
        <v>26</v>
      </c>
      <c r="B16" s="8">
        <v>0.27</v>
      </c>
      <c r="C16" s="3" t="s">
        <v>27</v>
      </c>
    </row>
    <row r="17" spans="1:3" x14ac:dyDescent="0.25">
      <c r="A17" s="5" t="s">
        <v>28</v>
      </c>
      <c r="B17" s="8">
        <v>0.12</v>
      </c>
      <c r="C17" s="3" t="s">
        <v>29</v>
      </c>
    </row>
    <row r="19" spans="1:3" x14ac:dyDescent="0.25">
      <c r="A19" s="10" t="s">
        <v>30</v>
      </c>
    </row>
    <row r="20" spans="1:3" x14ac:dyDescent="0.25">
      <c r="A20" s="5" t="s">
        <v>31</v>
      </c>
      <c r="B20" s="11">
        <f>(1+B17)^(1/12)-1</f>
        <v>9.4887929345830457E-3</v>
      </c>
      <c r="C20" s="3" t="s">
        <v>32</v>
      </c>
    </row>
    <row r="21" spans="1:3" x14ac:dyDescent="0.25">
      <c r="A21" s="5" t="s">
        <v>33</v>
      </c>
      <c r="B21" s="12">
        <f>B7*B8</f>
        <v>15</v>
      </c>
      <c r="C21" s="3" t="s">
        <v>34</v>
      </c>
    </row>
    <row r="22" spans="1:3" x14ac:dyDescent="0.25">
      <c r="A22" s="5" t="s">
        <v>35</v>
      </c>
      <c r="B22" s="13">
        <f>(B8-B9)*B10*B11</f>
        <v>40</v>
      </c>
      <c r="C22" s="3" t="s">
        <v>157</v>
      </c>
    </row>
    <row r="23" spans="1:3" x14ac:dyDescent="0.25">
      <c r="A23" s="5" t="s">
        <v>36</v>
      </c>
      <c r="B23" s="13">
        <f>B22+B13+B14+B15</f>
        <v>160</v>
      </c>
      <c r="C23" s="3" t="s">
        <v>37</v>
      </c>
    </row>
    <row r="24" spans="1:3" x14ac:dyDescent="0.25">
      <c r="A24" s="5" t="s">
        <v>38</v>
      </c>
      <c r="B24" s="14">
        <f>B4*(1-B12)</f>
        <v>15</v>
      </c>
      <c r="C24" s="3" t="s">
        <v>39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zoomScaleNormal="100" workbookViewId="0">
      <selection activeCell="B23" sqref="B23"/>
    </sheetView>
  </sheetViews>
  <sheetFormatPr baseColWidth="10" defaultColWidth="8.5703125" defaultRowHeight="15" x14ac:dyDescent="0.25"/>
  <cols>
    <col min="1" max="1" width="42" customWidth="1"/>
    <col min="2" max="2" width="16" customWidth="1"/>
    <col min="3" max="3" width="40" customWidth="1"/>
  </cols>
  <sheetData>
    <row r="1" spans="1:3" ht="24" customHeight="1" x14ac:dyDescent="0.25">
      <c r="A1" s="2" t="s">
        <v>40</v>
      </c>
      <c r="B1" s="2"/>
      <c r="C1" s="2"/>
    </row>
    <row r="2" spans="1:3" x14ac:dyDescent="0.25">
      <c r="A2" s="3" t="s">
        <v>41</v>
      </c>
    </row>
    <row r="3" spans="1:3" x14ac:dyDescent="0.25">
      <c r="A3" s="4" t="s">
        <v>42</v>
      </c>
      <c r="B3" s="4" t="s">
        <v>43</v>
      </c>
      <c r="C3" s="4" t="s">
        <v>44</v>
      </c>
    </row>
    <row r="4" spans="1:3" x14ac:dyDescent="0.25">
      <c r="A4" s="5" t="s">
        <v>45</v>
      </c>
      <c r="B4" s="9">
        <v>0</v>
      </c>
      <c r="C4" s="3" t="s">
        <v>2</v>
      </c>
    </row>
    <row r="5" spans="1:3" x14ac:dyDescent="0.25">
      <c r="A5" s="5" t="s">
        <v>46</v>
      </c>
      <c r="B5" s="9">
        <v>0</v>
      </c>
      <c r="C5" s="3" t="s">
        <v>2</v>
      </c>
    </row>
    <row r="6" spans="1:3" x14ac:dyDescent="0.25">
      <c r="A6" s="5" t="s">
        <v>47</v>
      </c>
      <c r="B6" s="9">
        <v>50</v>
      </c>
      <c r="C6" s="3" t="s">
        <v>2</v>
      </c>
    </row>
    <row r="7" spans="1:3" x14ac:dyDescent="0.25">
      <c r="A7" s="5" t="s">
        <v>48</v>
      </c>
      <c r="B7" s="9"/>
      <c r="C7" s="3" t="s">
        <v>2</v>
      </c>
    </row>
    <row r="8" spans="1:3" x14ac:dyDescent="0.25">
      <c r="A8" s="5" t="s">
        <v>49</v>
      </c>
      <c r="B8" s="9">
        <v>0</v>
      </c>
      <c r="C8" s="3" t="s">
        <v>2</v>
      </c>
    </row>
    <row r="9" spans="1:3" x14ac:dyDescent="0.25">
      <c r="A9" s="5" t="s">
        <v>50</v>
      </c>
      <c r="B9" s="9">
        <v>30</v>
      </c>
      <c r="C9" s="3" t="s">
        <v>2</v>
      </c>
    </row>
    <row r="10" spans="1:3" x14ac:dyDescent="0.25">
      <c r="A10" s="15" t="s">
        <v>51</v>
      </c>
      <c r="B10" s="16">
        <f>SUM(B4:B9)</f>
        <v>80</v>
      </c>
    </row>
    <row r="11" spans="1:3" x14ac:dyDescent="0.25">
      <c r="A11" s="17" t="s">
        <v>52</v>
      </c>
      <c r="B11" s="8">
        <v>0.1</v>
      </c>
      <c r="C11" s="3" t="s">
        <v>53</v>
      </c>
    </row>
    <row r="12" spans="1:3" x14ac:dyDescent="0.25">
      <c r="A12" s="17" t="s">
        <v>54</v>
      </c>
      <c r="B12" s="13">
        <f>B10*B11</f>
        <v>8</v>
      </c>
    </row>
    <row r="13" spans="1:3" x14ac:dyDescent="0.25">
      <c r="A13" s="15" t="s">
        <v>55</v>
      </c>
      <c r="B13" s="18">
        <f>B10+B12</f>
        <v>88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zoomScaleNormal="100" workbookViewId="0">
      <pane xSplit="1" ySplit="3" topLeftCell="B13" activePane="bottomRight" state="frozen"/>
      <selection pane="topRight" activeCell="B1" sqref="B1"/>
      <selection pane="bottomLeft" activeCell="A4" sqref="A4"/>
      <selection pane="bottomRight" activeCell="C37" sqref="C37"/>
    </sheetView>
  </sheetViews>
  <sheetFormatPr baseColWidth="10" defaultColWidth="8.5703125" defaultRowHeight="15" x14ac:dyDescent="0.25"/>
  <cols>
    <col min="1" max="1" width="30" customWidth="1"/>
    <col min="2" max="8" width="10" customWidth="1"/>
  </cols>
  <sheetData>
    <row r="1" spans="1:8" ht="24" customHeight="1" x14ac:dyDescent="0.25">
      <c r="A1" s="2" t="s">
        <v>160</v>
      </c>
      <c r="B1" s="2"/>
      <c r="C1" s="2"/>
      <c r="D1" s="2"/>
      <c r="E1" s="2"/>
      <c r="F1" s="2"/>
      <c r="G1" s="2"/>
      <c r="H1" s="2"/>
    </row>
    <row r="3" spans="1:8" x14ac:dyDescent="0.25">
      <c r="A3" s="4" t="s">
        <v>42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  <c r="G3" s="4" t="s">
        <v>61</v>
      </c>
      <c r="H3" s="4" t="s">
        <v>62</v>
      </c>
    </row>
    <row r="4" spans="1:8" x14ac:dyDescent="0.25">
      <c r="A4" s="5" t="s">
        <v>63</v>
      </c>
      <c r="B4" s="12">
        <v>0</v>
      </c>
      <c r="C4" s="19">
        <f>MIN(Supuestos!$B$21,Supuestos!$B$5)</f>
        <v>15</v>
      </c>
      <c r="D4" s="19">
        <f>MIN(Supuestos!$B$21,ROUND(C4*(1+Supuestos!$B$6),0))</f>
        <v>15</v>
      </c>
      <c r="E4" s="19">
        <f>MIN(Supuestos!$B$21,ROUND(D4*(1+Supuestos!$B$6),0))</f>
        <v>15</v>
      </c>
      <c r="F4" s="19">
        <f>MIN(Supuestos!$B$21,ROUND(E4*(1+Supuestos!$B$6),0))</f>
        <v>15</v>
      </c>
      <c r="G4" s="19">
        <f>MIN(Supuestos!$B$21,ROUND(F4*(1+Supuestos!$B$6),0))</f>
        <v>15</v>
      </c>
      <c r="H4" s="19">
        <f>MIN(Supuestos!$B$21,ROUND(G4*(1+Supuestos!$B$6),0))</f>
        <v>15</v>
      </c>
    </row>
    <row r="5" spans="1:8" x14ac:dyDescent="0.25">
      <c r="A5" s="5" t="s">
        <v>64</v>
      </c>
      <c r="B5" s="13">
        <v>0</v>
      </c>
      <c r="C5" s="20">
        <f>C4*Supuestos!$B$4</f>
        <v>225</v>
      </c>
      <c r="D5" s="20">
        <f>D4*Supuestos!$B$4</f>
        <v>225</v>
      </c>
      <c r="E5" s="20">
        <f>E4*Supuestos!$B$4</f>
        <v>225</v>
      </c>
      <c r="F5" s="20">
        <f>F4*Supuestos!$B$4</f>
        <v>225</v>
      </c>
      <c r="G5" s="20">
        <f>G4*Supuestos!$B$4</f>
        <v>225</v>
      </c>
      <c r="H5" s="20">
        <f>H4*Supuestos!$B$4</f>
        <v>225</v>
      </c>
    </row>
    <row r="6" spans="1:8" x14ac:dyDescent="0.25">
      <c r="A6" s="5" t="s">
        <v>65</v>
      </c>
      <c r="B6" s="13">
        <v>0</v>
      </c>
      <c r="C6" s="20">
        <f>-C5*Supuestos!$B$12</f>
        <v>0</v>
      </c>
      <c r="D6" s="20">
        <f>-D5*Supuestos!$B$12</f>
        <v>0</v>
      </c>
      <c r="E6" s="20">
        <f>-E5*Supuestos!$B$12</f>
        <v>0</v>
      </c>
      <c r="F6" s="20">
        <f>-F5*Supuestos!$B$12</f>
        <v>0</v>
      </c>
      <c r="G6" s="20">
        <f>-G5*Supuestos!$B$12</f>
        <v>0</v>
      </c>
      <c r="H6" s="20">
        <f>-H5*Supuestos!$B$12</f>
        <v>0</v>
      </c>
    </row>
    <row r="7" spans="1:8" x14ac:dyDescent="0.25">
      <c r="A7" s="21" t="s">
        <v>66</v>
      </c>
      <c r="B7" s="13">
        <v>0</v>
      </c>
      <c r="C7" s="13">
        <f t="shared" ref="C7:H7" si="0">C5+C6</f>
        <v>225</v>
      </c>
      <c r="D7" s="13">
        <f t="shared" si="0"/>
        <v>225</v>
      </c>
      <c r="E7" s="13">
        <f t="shared" si="0"/>
        <v>225</v>
      </c>
      <c r="F7" s="13">
        <f t="shared" si="0"/>
        <v>225</v>
      </c>
      <c r="G7" s="13">
        <f t="shared" si="0"/>
        <v>225</v>
      </c>
      <c r="H7" s="13">
        <f t="shared" si="0"/>
        <v>225</v>
      </c>
    </row>
    <row r="8" spans="1:8" x14ac:dyDescent="0.25">
      <c r="A8" s="5" t="s">
        <v>67</v>
      </c>
      <c r="B8" s="13">
        <v>0</v>
      </c>
      <c r="C8" s="20">
        <f>-Supuestos!$B$22</f>
        <v>-40</v>
      </c>
      <c r="D8" s="20">
        <f>-Supuestos!$B$22</f>
        <v>-40</v>
      </c>
      <c r="E8" s="20">
        <f>-Supuestos!$B$22</f>
        <v>-40</v>
      </c>
      <c r="F8" s="20">
        <f>-Supuestos!$B$22</f>
        <v>-40</v>
      </c>
      <c r="G8" s="20">
        <f>-Supuestos!$B$22</f>
        <v>-40</v>
      </c>
      <c r="H8" s="20">
        <f>-Supuestos!$B$22</f>
        <v>-40</v>
      </c>
    </row>
    <row r="9" spans="1:8" x14ac:dyDescent="0.25">
      <c r="A9" s="5" t="s">
        <v>68</v>
      </c>
      <c r="B9" s="13">
        <v>0</v>
      </c>
      <c r="C9" s="20">
        <f>-Supuestos!$B$13</f>
        <v>-10</v>
      </c>
      <c r="D9" s="20">
        <f>-Supuestos!$B$13</f>
        <v>-10</v>
      </c>
      <c r="E9" s="20">
        <f>-Supuestos!$B$13</f>
        <v>-10</v>
      </c>
      <c r="F9" s="20">
        <f>-Supuestos!$B$13</f>
        <v>-10</v>
      </c>
      <c r="G9" s="20">
        <f>-Supuestos!$B$13</f>
        <v>-10</v>
      </c>
      <c r="H9" s="20">
        <f>-Supuestos!$B$13</f>
        <v>-10</v>
      </c>
    </row>
    <row r="10" spans="1:8" x14ac:dyDescent="0.25">
      <c r="A10" s="5" t="s">
        <v>69</v>
      </c>
      <c r="B10" s="13">
        <v>0</v>
      </c>
      <c r="C10" s="20">
        <f>-Supuestos!$B$14</f>
        <v>-80</v>
      </c>
      <c r="D10" s="20">
        <f>-Supuestos!$B$14</f>
        <v>-80</v>
      </c>
      <c r="E10" s="20">
        <f>-Supuestos!$B$14</f>
        <v>-80</v>
      </c>
      <c r="F10" s="20">
        <f>-Supuestos!$B$14</f>
        <v>-80</v>
      </c>
      <c r="G10" s="20">
        <f>-Supuestos!$B$14</f>
        <v>-80</v>
      </c>
      <c r="H10" s="20">
        <f>-Supuestos!$B$14</f>
        <v>-80</v>
      </c>
    </row>
    <row r="11" spans="1:8" x14ac:dyDescent="0.25">
      <c r="A11" s="5" t="s">
        <v>70</v>
      </c>
      <c r="B11" s="13">
        <v>0</v>
      </c>
      <c r="C11" s="20">
        <f>-Supuestos!$B$15</f>
        <v>-30</v>
      </c>
      <c r="D11" s="20">
        <f>-Supuestos!$B$15</f>
        <v>-30</v>
      </c>
      <c r="E11" s="20">
        <f>-Supuestos!$B$15</f>
        <v>-30</v>
      </c>
      <c r="F11" s="20">
        <f>-Supuestos!$B$15</f>
        <v>-30</v>
      </c>
      <c r="G11" s="20">
        <f>-Supuestos!$B$15</f>
        <v>-30</v>
      </c>
      <c r="H11" s="20">
        <f>-Supuestos!$B$15</f>
        <v>-30</v>
      </c>
    </row>
    <row r="12" spans="1:8" x14ac:dyDescent="0.25">
      <c r="A12" s="21" t="s">
        <v>71</v>
      </c>
      <c r="B12" s="13">
        <v>0</v>
      </c>
      <c r="C12" s="13">
        <f t="shared" ref="C12:H12" si="1">SUM(C6,C8:C11)</f>
        <v>-160</v>
      </c>
      <c r="D12" s="13">
        <f t="shared" si="1"/>
        <v>-160</v>
      </c>
      <c r="E12" s="13">
        <f t="shared" si="1"/>
        <v>-160</v>
      </c>
      <c r="F12" s="13">
        <f t="shared" si="1"/>
        <v>-160</v>
      </c>
      <c r="G12" s="13">
        <f t="shared" si="1"/>
        <v>-160</v>
      </c>
      <c r="H12" s="13">
        <f t="shared" si="1"/>
        <v>-160</v>
      </c>
    </row>
    <row r="13" spans="1:8" x14ac:dyDescent="0.25">
      <c r="A13" s="21" t="s">
        <v>72</v>
      </c>
      <c r="B13" s="13">
        <v>0</v>
      </c>
      <c r="C13" s="13">
        <f t="shared" ref="C13:H13" si="2">C7+SUM(C8:C11)</f>
        <v>65</v>
      </c>
      <c r="D13" s="13">
        <f t="shared" si="2"/>
        <v>65</v>
      </c>
      <c r="E13" s="13">
        <f t="shared" si="2"/>
        <v>65</v>
      </c>
      <c r="F13" s="13">
        <f t="shared" si="2"/>
        <v>65</v>
      </c>
      <c r="G13" s="13">
        <f t="shared" si="2"/>
        <v>65</v>
      </c>
      <c r="H13" s="13">
        <f t="shared" si="2"/>
        <v>65</v>
      </c>
    </row>
    <row r="14" spans="1:8" x14ac:dyDescent="0.25">
      <c r="A14" s="5" t="s">
        <v>73</v>
      </c>
      <c r="B14" s="13">
        <v>0</v>
      </c>
      <c r="C14" s="20">
        <f>-MAX(0,C13)*Supuestos!$B$16</f>
        <v>-17.55</v>
      </c>
      <c r="D14" s="20">
        <f>-MAX(0,D13)*Supuestos!$B$16</f>
        <v>-17.55</v>
      </c>
      <c r="E14" s="20">
        <f>-MAX(0,E13)*Supuestos!$B$16</f>
        <v>-17.55</v>
      </c>
      <c r="F14" s="20">
        <f>-MAX(0,F13)*Supuestos!$B$16</f>
        <v>-17.55</v>
      </c>
      <c r="G14" s="20">
        <f>-MAX(0,G13)*Supuestos!$B$16</f>
        <v>-17.55</v>
      </c>
      <c r="H14" s="20">
        <f>-MAX(0,H13)*Supuestos!$B$16</f>
        <v>-17.55</v>
      </c>
    </row>
    <row r="15" spans="1:8" x14ac:dyDescent="0.25">
      <c r="A15" s="5" t="s">
        <v>74</v>
      </c>
      <c r="B15" s="13">
        <v>0</v>
      </c>
      <c r="C15" s="13">
        <f t="shared" ref="C15:H15" si="3">C13+C14</f>
        <v>47.45</v>
      </c>
      <c r="D15" s="13">
        <f t="shared" si="3"/>
        <v>47.45</v>
      </c>
      <c r="E15" s="13">
        <f t="shared" si="3"/>
        <v>47.45</v>
      </c>
      <c r="F15" s="13">
        <f t="shared" si="3"/>
        <v>47.45</v>
      </c>
      <c r="G15" s="13">
        <f t="shared" si="3"/>
        <v>47.45</v>
      </c>
      <c r="H15" s="13">
        <f t="shared" si="3"/>
        <v>47.45</v>
      </c>
    </row>
    <row r="16" spans="1:8" x14ac:dyDescent="0.25">
      <c r="A16" s="5" t="s">
        <v>75</v>
      </c>
      <c r="B16" s="20">
        <f>-Inversion!$B$13</f>
        <v>-88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25">
      <c r="A17" s="22" t="s">
        <v>76</v>
      </c>
      <c r="B17" s="18">
        <f t="shared" ref="B17:H17" si="4">B15+B16</f>
        <v>-88</v>
      </c>
      <c r="C17" s="18">
        <f t="shared" si="4"/>
        <v>47.45</v>
      </c>
      <c r="D17" s="18">
        <f t="shared" si="4"/>
        <v>47.45</v>
      </c>
      <c r="E17" s="18">
        <f t="shared" si="4"/>
        <v>47.45</v>
      </c>
      <c r="F17" s="18">
        <f t="shared" si="4"/>
        <v>47.45</v>
      </c>
      <c r="G17" s="18">
        <f t="shared" si="4"/>
        <v>47.45</v>
      </c>
      <c r="H17" s="18">
        <f t="shared" si="4"/>
        <v>47.45</v>
      </c>
    </row>
    <row r="18" spans="1:8" x14ac:dyDescent="0.25">
      <c r="A18" s="22" t="s">
        <v>77</v>
      </c>
      <c r="B18" s="18">
        <f>B17</f>
        <v>-88</v>
      </c>
      <c r="C18" s="18">
        <f t="shared" ref="C18:H18" si="5">B18+C17</f>
        <v>-40.549999999999997</v>
      </c>
      <c r="D18" s="18">
        <f t="shared" si="5"/>
        <v>6.9000000000000057</v>
      </c>
      <c r="E18" s="18">
        <f t="shared" si="5"/>
        <v>54.350000000000009</v>
      </c>
      <c r="F18" s="18">
        <f t="shared" si="5"/>
        <v>101.80000000000001</v>
      </c>
      <c r="G18" s="18">
        <f t="shared" si="5"/>
        <v>149.25</v>
      </c>
      <c r="H18" s="18">
        <f t="shared" si="5"/>
        <v>196.7</v>
      </c>
    </row>
    <row r="20" spans="1:8" x14ac:dyDescent="0.25">
      <c r="A20" s="3" t="s">
        <v>78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tabSelected="1" zoomScaleNormal="100" workbookViewId="0">
      <selection activeCell="C30" sqref="C30"/>
    </sheetView>
  </sheetViews>
  <sheetFormatPr baseColWidth="10" defaultColWidth="8.5703125" defaultRowHeight="15" x14ac:dyDescent="0.25"/>
  <cols>
    <col min="1" max="1" width="46" customWidth="1"/>
    <col min="2" max="2" width="28" customWidth="1"/>
    <col min="3" max="3" width="62" customWidth="1"/>
  </cols>
  <sheetData>
    <row r="1" spans="1:3" ht="24" customHeight="1" x14ac:dyDescent="0.25">
      <c r="A1" s="2" t="s">
        <v>79</v>
      </c>
      <c r="B1" s="2"/>
      <c r="C1" s="2"/>
    </row>
    <row r="3" spans="1:3" x14ac:dyDescent="0.25">
      <c r="A3" s="4" t="s">
        <v>80</v>
      </c>
      <c r="B3" s="4" t="s">
        <v>3</v>
      </c>
      <c r="C3" s="4" t="s">
        <v>81</v>
      </c>
    </row>
    <row r="4" spans="1:3" x14ac:dyDescent="0.25">
      <c r="A4" s="10" t="s">
        <v>82</v>
      </c>
      <c r="B4" s="23"/>
      <c r="C4" s="23"/>
    </row>
    <row r="5" spans="1:3" x14ac:dyDescent="0.25">
      <c r="A5" s="5" t="s">
        <v>83</v>
      </c>
      <c r="B5" s="20">
        <f>Inversion!$B$13</f>
        <v>88</v>
      </c>
      <c r="C5" s="3" t="s">
        <v>84</v>
      </c>
    </row>
    <row r="6" spans="1:3" x14ac:dyDescent="0.25">
      <c r="A6" s="5" t="s">
        <v>85</v>
      </c>
      <c r="B6" s="13">
        <f>MAX(0,-MIN('Flujo de Caja'!$B$18:$H$18)-Inversion!$B$13)</f>
        <v>0</v>
      </c>
      <c r="C6" s="3" t="s">
        <v>86</v>
      </c>
    </row>
    <row r="7" spans="1:3" x14ac:dyDescent="0.25">
      <c r="A7" s="21" t="s">
        <v>87</v>
      </c>
      <c r="B7" s="18">
        <f>MAX(0,-MIN('Flujo de Caja'!$B$18:$H$18))</f>
        <v>88</v>
      </c>
      <c r="C7" s="3" t="s">
        <v>88</v>
      </c>
    </row>
    <row r="8" spans="1:3" x14ac:dyDescent="0.25">
      <c r="A8" s="10" t="s">
        <v>89</v>
      </c>
      <c r="B8" s="23"/>
      <c r="C8" s="23"/>
    </row>
    <row r="9" spans="1:3" x14ac:dyDescent="0.25">
      <c r="A9" s="5" t="s">
        <v>161</v>
      </c>
      <c r="B9" s="13">
        <f>NPV(Supuestos!$B$20,'Flujo de Caja'!$C$17:$H$17)+'Flujo de Caja'!$B$17</f>
        <v>187.47912651287101</v>
      </c>
      <c r="C9" s="3" t="s">
        <v>90</v>
      </c>
    </row>
    <row r="10" spans="1:3" x14ac:dyDescent="0.25">
      <c r="A10" s="5" t="s">
        <v>91</v>
      </c>
      <c r="B10" s="24">
        <f>IFERROR(IRR('Flujo de Caja'!$B$17:$H$17,0.02),"No calculable")</f>
        <v>0.48991078343963768</v>
      </c>
      <c r="C10" s="3" t="s">
        <v>92</v>
      </c>
    </row>
    <row r="11" spans="1:3" x14ac:dyDescent="0.25">
      <c r="A11" s="5" t="s">
        <v>93</v>
      </c>
      <c r="B11" s="24">
        <f>IFERROR((1+B10)^12-1,"No calculable")</f>
        <v>118.65288132489854</v>
      </c>
      <c r="C11" s="3" t="s">
        <v>94</v>
      </c>
    </row>
    <row r="12" spans="1:3" x14ac:dyDescent="0.25">
      <c r="A12" s="5" t="s">
        <v>95</v>
      </c>
      <c r="B12" s="25">
        <f>Supuestos!$B$17</f>
        <v>0.12</v>
      </c>
      <c r="C12" s="3" t="s">
        <v>96</v>
      </c>
    </row>
    <row r="13" spans="1:3" x14ac:dyDescent="0.25">
      <c r="A13" s="5" t="s">
        <v>97</v>
      </c>
      <c r="B13" s="12" cm="1">
        <f t="array" ref="B13">IF(INDEX('Flujo de Caja'!$B$18:$H$18,1,COLUMNS('Flujo de Caja'!$B$18:$H$18))&lt;0,"No recupera en 6 meses",COUNTIF('Flujo de Caja'!$B$18:$H$18,"&lt;0"))</f>
        <v>2</v>
      </c>
      <c r="C13" s="3" t="s">
        <v>98</v>
      </c>
    </row>
    <row r="14" spans="1:3" x14ac:dyDescent="0.25">
      <c r="A14" s="5" t="s">
        <v>162</v>
      </c>
      <c r="B14" s="13" cm="1">
        <f t="array" ref="B14">INDEX('Flujo de Caja'!$B$18:$H$18,1,COLUMNS('Flujo de Caja'!$B$18:$H$18))</f>
        <v>196.7</v>
      </c>
      <c r="C14" s="3" t="s">
        <v>164</v>
      </c>
    </row>
    <row r="15" spans="1:3" x14ac:dyDescent="0.25">
      <c r="A15" s="5" t="s">
        <v>163</v>
      </c>
      <c r="B15" s="24">
        <f>IFERROR(B14/B7,0)</f>
        <v>2.2352272727272724</v>
      </c>
      <c r="C15" s="3" t="s">
        <v>99</v>
      </c>
    </row>
    <row r="16" spans="1:3" x14ac:dyDescent="0.25">
      <c r="A16" s="10" t="s">
        <v>100</v>
      </c>
      <c r="B16" s="23"/>
      <c r="C16" s="23"/>
    </row>
    <row r="17" spans="1:3" x14ac:dyDescent="0.25">
      <c r="A17" s="5" t="s">
        <v>101</v>
      </c>
      <c r="B17" s="12">
        <f>ROUNDUP(Supuestos!$B$23/Supuestos!$B$24,0)</f>
        <v>11</v>
      </c>
      <c r="C17" s="3" t="s">
        <v>102</v>
      </c>
    </row>
    <row r="18" spans="1:3" x14ac:dyDescent="0.25">
      <c r="A18" s="5" t="s">
        <v>103</v>
      </c>
      <c r="B18" s="19">
        <f>Supuestos!$B$21</f>
        <v>15</v>
      </c>
      <c r="C18" s="3" t="s">
        <v>104</v>
      </c>
    </row>
    <row r="19" spans="1:3" x14ac:dyDescent="0.25">
      <c r="A19" s="5" t="s">
        <v>105</v>
      </c>
      <c r="B19" s="20">
        <f>B17*Supuestos!$B$4</f>
        <v>165</v>
      </c>
      <c r="C19" s="3" t="s">
        <v>106</v>
      </c>
    </row>
    <row r="20" spans="1:3" x14ac:dyDescent="0.25">
      <c r="A20" s="5" t="s">
        <v>107</v>
      </c>
      <c r="B20" s="20">
        <f>B18*Supuestos!$B$24-Supuestos!$B$23</f>
        <v>65</v>
      </c>
      <c r="C20" s="3" t="s">
        <v>108</v>
      </c>
    </row>
    <row r="21" spans="1:3" x14ac:dyDescent="0.25">
      <c r="A21" s="5" t="s">
        <v>109</v>
      </c>
      <c r="B21" s="24">
        <f>IFERROR(B20/(B18*Supuestos!$B$4),0)</f>
        <v>0.28888888888888886</v>
      </c>
      <c r="C21" s="3" t="s">
        <v>110</v>
      </c>
    </row>
    <row r="22" spans="1:3" x14ac:dyDescent="0.25">
      <c r="A22" s="10" t="s">
        <v>111</v>
      </c>
      <c r="B22" s="23"/>
      <c r="C22" s="23"/>
    </row>
    <row r="23" spans="1:3" ht="43.5" x14ac:dyDescent="0.25">
      <c r="A23" s="5" t="s">
        <v>112</v>
      </c>
      <c r="B23" s="26" t="str">
        <f>IF(AND(ISNUMBER(B9),B9&gt;0,B18&gt;=B17),"VIABLE: VAN positivo y la capacidad supera el punto de equilibrio",IF(B18&lt;B17,"NO VIABLE: la capacidad no alcanza el punto de equilibrio","NO VIABLE en 6 meses: VAN negativo"))</f>
        <v>VIABLE: VAN positivo y la capacidad supera el punto de equilibrio</v>
      </c>
      <c r="C23" s="3" t="s">
        <v>113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9"/>
  <sheetViews>
    <sheetView zoomScaleNormal="100" workbookViewId="0">
      <pane xSplit="1" ySplit="8" topLeftCell="B15" activePane="bottomRight" state="frozen"/>
      <selection pane="topRight" activeCell="B1" sqref="B1"/>
      <selection pane="bottomLeft" activeCell="A9" sqref="A9"/>
      <selection pane="bottomRight" activeCell="G17" sqref="G17"/>
    </sheetView>
  </sheetViews>
  <sheetFormatPr baseColWidth="10" defaultColWidth="8.5703125" defaultRowHeight="15" x14ac:dyDescent="0.25"/>
  <cols>
    <col min="1" max="1" width="44" customWidth="1"/>
    <col min="2" max="15" width="15" customWidth="1"/>
  </cols>
  <sheetData>
    <row r="1" spans="1:15" ht="24" customHeight="1" x14ac:dyDescent="0.25">
      <c r="A1" s="2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0" customHeight="1" x14ac:dyDescent="0.25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4" spans="1:15" x14ac:dyDescent="0.25">
      <c r="A4" s="21" t="s">
        <v>114</v>
      </c>
      <c r="B4" s="18">
        <f>F14</f>
        <v>1048</v>
      </c>
    </row>
    <row r="5" spans="1:15" x14ac:dyDescent="0.25">
      <c r="A5" s="21" t="s">
        <v>115</v>
      </c>
      <c r="B5" s="27">
        <f>COUNT(D9:D14)</f>
        <v>6</v>
      </c>
    </row>
    <row r="8" spans="1:15" ht="45" customHeight="1" x14ac:dyDescent="0.25">
      <c r="A8" s="4" t="s">
        <v>116</v>
      </c>
      <c r="B8" s="4" t="s">
        <v>117</v>
      </c>
      <c r="C8" s="4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125</v>
      </c>
      <c r="K8" s="4" t="s">
        <v>126</v>
      </c>
      <c r="L8" s="4" t="s">
        <v>127</v>
      </c>
      <c r="M8" s="4" t="s">
        <v>128</v>
      </c>
      <c r="N8" s="4" t="s">
        <v>129</v>
      </c>
      <c r="O8" s="4" t="s">
        <v>130</v>
      </c>
    </row>
    <row r="9" spans="1:15" x14ac:dyDescent="0.25">
      <c r="A9" s="28">
        <v>1</v>
      </c>
      <c r="B9" s="24">
        <f t="shared" ref="B9:B14" si="0">F9/$B$4</f>
        <v>0.23664122137404581</v>
      </c>
      <c r="C9" s="8">
        <v>0.15</v>
      </c>
      <c r="D9" s="9">
        <v>4250</v>
      </c>
      <c r="E9" s="20">
        <f>-'Flujo de Caja'!C12+Inversion!$B$13</f>
        <v>248</v>
      </c>
      <c r="F9" s="13">
        <f>SUM($E$9:E9)</f>
        <v>248</v>
      </c>
      <c r="G9" s="13">
        <f t="shared" ref="G9:G14" si="1">IF(D9="","",C9*$B$4)</f>
        <v>157.19999999999999</v>
      </c>
      <c r="H9" s="13">
        <f t="shared" ref="H9:H14" si="2">IF(D9="","",G9-D9)</f>
        <v>-4092.8</v>
      </c>
      <c r="I9" s="13">
        <f t="shared" ref="I9:I14" si="3">IF(D9="","",G9-F9)</f>
        <v>-90.800000000000011</v>
      </c>
      <c r="J9" s="29">
        <f t="shared" ref="J9:J14" si="4">IF(D9="","",IFERROR(G9/D9,0))</f>
        <v>3.6988235294117641E-2</v>
      </c>
      <c r="K9" s="29">
        <f t="shared" ref="K9:K14" si="5">IF(D9="","",IFERROR(G9/F9,0))</f>
        <v>0.63387096774193541</v>
      </c>
      <c r="L9" s="13">
        <f t="shared" ref="L9:L14" si="6">IF(D9="","",IFERROR($B$4/J9,0))</f>
        <v>28333.333333333339</v>
      </c>
      <c r="M9" s="13">
        <f t="shared" ref="M9:M14" si="7">IF(D9="","",L9-D9)</f>
        <v>24083.333333333339</v>
      </c>
      <c r="N9" s="13">
        <f t="shared" ref="N9:N14" si="8">IF(D9="","",$B$4-L9)</f>
        <v>-27285.333333333339</v>
      </c>
      <c r="O9" s="29">
        <f t="shared" ref="O9:O14" si="9">IF(D9="","",IFERROR(($B$4-G9)/($B$4-D9),0))</f>
        <v>-0.27820112429731414</v>
      </c>
    </row>
    <row r="10" spans="1:15" x14ac:dyDescent="0.25">
      <c r="A10" s="28">
        <v>2</v>
      </c>
      <c r="B10" s="24">
        <f t="shared" si="0"/>
        <v>0.38931297709923662</v>
      </c>
      <c r="C10" s="8">
        <v>0.22</v>
      </c>
      <c r="D10" s="9">
        <v>6300</v>
      </c>
      <c r="E10" s="20">
        <f>-'Flujo de Caja'!D12</f>
        <v>160</v>
      </c>
      <c r="F10" s="13">
        <f>SUM($E$9:E10)</f>
        <v>408</v>
      </c>
      <c r="G10" s="13">
        <f t="shared" si="1"/>
        <v>230.56</v>
      </c>
      <c r="H10" s="13">
        <f t="shared" si="2"/>
        <v>-6069.44</v>
      </c>
      <c r="I10" s="13">
        <f t="shared" si="3"/>
        <v>-177.44</v>
      </c>
      <c r="J10" s="29">
        <f t="shared" si="4"/>
        <v>3.6596825396825398E-2</v>
      </c>
      <c r="K10" s="29">
        <f t="shared" si="5"/>
        <v>0.56509803921568624</v>
      </c>
      <c r="L10" s="13">
        <f t="shared" si="6"/>
        <v>28636.363636363636</v>
      </c>
      <c r="M10" s="13">
        <f t="shared" si="7"/>
        <v>22336.363636363636</v>
      </c>
      <c r="N10" s="13">
        <f t="shared" si="8"/>
        <v>-27588.363636363636</v>
      </c>
      <c r="O10" s="29">
        <f t="shared" si="9"/>
        <v>-0.15564356435643564</v>
      </c>
    </row>
    <row r="11" spans="1:15" x14ac:dyDescent="0.25">
      <c r="A11" s="28">
        <v>3</v>
      </c>
      <c r="B11" s="24">
        <f t="shared" si="0"/>
        <v>0.5419847328244275</v>
      </c>
      <c r="C11" s="8">
        <v>0.28999999999999998</v>
      </c>
      <c r="D11" s="9">
        <v>8250</v>
      </c>
      <c r="E11" s="20">
        <f>-'Flujo de Caja'!E12</f>
        <v>160</v>
      </c>
      <c r="F11" s="13">
        <f>SUM($E$9:E11)</f>
        <v>568</v>
      </c>
      <c r="G11" s="13">
        <f t="shared" si="1"/>
        <v>303.91999999999996</v>
      </c>
      <c r="H11" s="13">
        <f t="shared" si="2"/>
        <v>-7946.08</v>
      </c>
      <c r="I11" s="13">
        <f t="shared" si="3"/>
        <v>-264.08000000000004</v>
      </c>
      <c r="J11" s="29">
        <f t="shared" si="4"/>
        <v>3.6838787878787874E-2</v>
      </c>
      <c r="K11" s="29">
        <f t="shared" si="5"/>
        <v>0.5350704225352112</v>
      </c>
      <c r="L11" s="13">
        <f t="shared" si="6"/>
        <v>28448.275862068971</v>
      </c>
      <c r="M11" s="13">
        <f t="shared" si="7"/>
        <v>20198.275862068971</v>
      </c>
      <c r="N11" s="13">
        <f t="shared" si="8"/>
        <v>-27400.275862068971</v>
      </c>
      <c r="O11" s="29">
        <f t="shared" si="9"/>
        <v>-0.10331574562621494</v>
      </c>
    </row>
    <row r="12" spans="1:15" x14ac:dyDescent="0.25">
      <c r="A12" s="28">
        <v>4</v>
      </c>
      <c r="B12" s="24">
        <f t="shared" si="0"/>
        <v>0.69465648854961837</v>
      </c>
      <c r="C12" s="8">
        <v>0.37</v>
      </c>
      <c r="D12" s="9">
        <v>10150</v>
      </c>
      <c r="E12" s="20">
        <f>-'Flujo de Caja'!F12</f>
        <v>160</v>
      </c>
      <c r="F12" s="13">
        <f>SUM($E$9:E12)</f>
        <v>728</v>
      </c>
      <c r="G12" s="13">
        <f t="shared" si="1"/>
        <v>387.76</v>
      </c>
      <c r="H12" s="13">
        <f t="shared" si="2"/>
        <v>-9762.24</v>
      </c>
      <c r="I12" s="13">
        <f t="shared" si="3"/>
        <v>-340.24</v>
      </c>
      <c r="J12" s="29">
        <f t="shared" si="4"/>
        <v>3.8202955665024629E-2</v>
      </c>
      <c r="K12" s="29">
        <f t="shared" si="5"/>
        <v>0.53263736263736261</v>
      </c>
      <c r="L12" s="13">
        <f t="shared" si="6"/>
        <v>27432.432432432433</v>
      </c>
      <c r="M12" s="13">
        <f t="shared" si="7"/>
        <v>17282.432432432433</v>
      </c>
      <c r="N12" s="13">
        <f t="shared" si="8"/>
        <v>-26384.432432432433</v>
      </c>
      <c r="O12" s="29">
        <f t="shared" si="9"/>
        <v>-7.253790375741595E-2</v>
      </c>
    </row>
    <row r="13" spans="1:15" x14ac:dyDescent="0.25">
      <c r="A13" s="28">
        <v>5</v>
      </c>
      <c r="B13" s="24">
        <f t="shared" si="0"/>
        <v>0.84732824427480913</v>
      </c>
      <c r="C13" s="8">
        <v>0.45</v>
      </c>
      <c r="D13" s="9">
        <v>12100</v>
      </c>
      <c r="E13" s="20">
        <f>-'Flujo de Caja'!G12</f>
        <v>160</v>
      </c>
      <c r="F13" s="13">
        <f>SUM($E$9:E13)</f>
        <v>888</v>
      </c>
      <c r="G13" s="13">
        <f t="shared" si="1"/>
        <v>471.6</v>
      </c>
      <c r="H13" s="13">
        <f t="shared" si="2"/>
        <v>-11628.4</v>
      </c>
      <c r="I13" s="13">
        <f t="shared" si="3"/>
        <v>-416.4</v>
      </c>
      <c r="J13" s="29">
        <f t="shared" si="4"/>
        <v>3.8975206611570251E-2</v>
      </c>
      <c r="K13" s="29">
        <f t="shared" si="5"/>
        <v>0.5310810810810811</v>
      </c>
      <c r="L13" s="13">
        <f t="shared" si="6"/>
        <v>26888.888888888887</v>
      </c>
      <c r="M13" s="13">
        <f t="shared" si="7"/>
        <v>14788.888888888887</v>
      </c>
      <c r="N13" s="13">
        <f t="shared" si="8"/>
        <v>-25840.888888888887</v>
      </c>
      <c r="O13" s="29">
        <f t="shared" si="9"/>
        <v>-5.2153456387984076E-2</v>
      </c>
    </row>
    <row r="14" spans="1:15" x14ac:dyDescent="0.25">
      <c r="A14" s="28">
        <v>6</v>
      </c>
      <c r="B14" s="24">
        <f t="shared" si="0"/>
        <v>1</v>
      </c>
      <c r="C14" s="8">
        <v>0.52</v>
      </c>
      <c r="D14" s="9">
        <v>14200</v>
      </c>
      <c r="E14" s="20">
        <f>-'Flujo de Caja'!H12</f>
        <v>160</v>
      </c>
      <c r="F14" s="13">
        <f>SUM($E$9:E14)</f>
        <v>1048</v>
      </c>
      <c r="G14" s="13">
        <f t="shared" si="1"/>
        <v>544.96</v>
      </c>
      <c r="H14" s="13">
        <f t="shared" si="2"/>
        <v>-13655.04</v>
      </c>
      <c r="I14" s="13">
        <f t="shared" si="3"/>
        <v>-503.03999999999996</v>
      </c>
      <c r="J14" s="29">
        <f t="shared" si="4"/>
        <v>3.8377464788732399E-2</v>
      </c>
      <c r="K14" s="29">
        <f t="shared" si="5"/>
        <v>0.52</v>
      </c>
      <c r="L14" s="13">
        <f t="shared" si="6"/>
        <v>27307.692307692305</v>
      </c>
      <c r="M14" s="13">
        <f t="shared" si="7"/>
        <v>13107.692307692305</v>
      </c>
      <c r="N14" s="13">
        <f t="shared" si="8"/>
        <v>-26259.692307692305</v>
      </c>
      <c r="O14" s="29">
        <f t="shared" si="9"/>
        <v>-3.8248175182481747E-2</v>
      </c>
    </row>
    <row r="16" spans="1:15" x14ac:dyDescent="0.25">
      <c r="A16" s="10" t="s">
        <v>131</v>
      </c>
      <c r="B16" s="23"/>
      <c r="C16" s="23"/>
    </row>
    <row r="17" spans="1:3" x14ac:dyDescent="0.25">
      <c r="A17" s="5" t="s">
        <v>132</v>
      </c>
      <c r="B17" s="13">
        <f>IF($B$5=0,"Sin datos",INDEX(F9:F14,$B$5))</f>
        <v>1048</v>
      </c>
      <c r="C17" s="3" t="s">
        <v>133</v>
      </c>
    </row>
    <row r="18" spans="1:3" x14ac:dyDescent="0.25">
      <c r="A18" s="5" t="s">
        <v>122</v>
      </c>
      <c r="B18" s="13">
        <f>IF($B$5=0,"Sin datos",INDEX(G9:G14,$B$5))</f>
        <v>544.96</v>
      </c>
      <c r="C18" s="3" t="s">
        <v>134</v>
      </c>
    </row>
    <row r="19" spans="1:3" x14ac:dyDescent="0.25">
      <c r="A19" s="5" t="s">
        <v>135</v>
      </c>
      <c r="B19" s="13">
        <f>IF($B$5=0,"Sin datos",INDEX(D9:D14,$B$5))</f>
        <v>14200</v>
      </c>
      <c r="C19" s="3" t="s">
        <v>136</v>
      </c>
    </row>
    <row r="20" spans="1:3" x14ac:dyDescent="0.25">
      <c r="A20" s="5" t="s">
        <v>137</v>
      </c>
      <c r="B20" s="13">
        <f>IF($B$5=0,"Sin datos",INDEX(H9:H14,$B$5))</f>
        <v>-13655.04</v>
      </c>
      <c r="C20" s="3" t="s">
        <v>138</v>
      </c>
    </row>
    <row r="21" spans="1:3" x14ac:dyDescent="0.25">
      <c r="A21" s="5" t="s">
        <v>139</v>
      </c>
      <c r="B21" s="13">
        <f>IF($B$5=0,"Sin datos",INDEX(I9:I14,$B$5))</f>
        <v>-503.03999999999996</v>
      </c>
      <c r="C21" s="3" t="s">
        <v>140</v>
      </c>
    </row>
    <row r="22" spans="1:3" x14ac:dyDescent="0.25">
      <c r="A22" s="5" t="s">
        <v>141</v>
      </c>
      <c r="B22" s="29">
        <f>IF($B$5=0,"Sin datos",INDEX(J9:J14,$B$5))</f>
        <v>3.8377464788732399E-2</v>
      </c>
      <c r="C22" s="3" t="s">
        <v>142</v>
      </c>
    </row>
    <row r="23" spans="1:3" x14ac:dyDescent="0.25">
      <c r="A23" s="5" t="s">
        <v>143</v>
      </c>
      <c r="B23" s="29">
        <f>IF($B$5=0,"Sin datos",INDEX(K9:K14,$B$5))</f>
        <v>0.52</v>
      </c>
      <c r="C23" s="3" t="s">
        <v>144</v>
      </c>
    </row>
    <row r="24" spans="1:3" x14ac:dyDescent="0.25">
      <c r="A24" s="5" t="s">
        <v>145</v>
      </c>
      <c r="B24" s="13">
        <f>IF($B$5=0,"Sin datos",INDEX(L9:L14,$B$5))</f>
        <v>27307.692307692305</v>
      </c>
      <c r="C24" s="3" t="s">
        <v>146</v>
      </c>
    </row>
    <row r="25" spans="1:3" x14ac:dyDescent="0.25">
      <c r="A25" s="5" t="s">
        <v>147</v>
      </c>
      <c r="B25" s="13">
        <f>IF($B$5=0,"Sin datos",INDEX(M9:M14,$B$5))</f>
        <v>13107.692307692305</v>
      </c>
      <c r="C25" s="3" t="s">
        <v>148</v>
      </c>
    </row>
    <row r="26" spans="1:3" x14ac:dyDescent="0.25">
      <c r="A26" s="5" t="s">
        <v>149</v>
      </c>
      <c r="B26" s="13">
        <f>IF($B$5=0,"Sin datos",INDEX(N9:N14,$B$5))</f>
        <v>-26259.692307692305</v>
      </c>
      <c r="C26" s="3" t="s">
        <v>150</v>
      </c>
    </row>
    <row r="27" spans="1:3" x14ac:dyDescent="0.25">
      <c r="A27" s="5" t="s">
        <v>151</v>
      </c>
      <c r="B27" s="29">
        <f>IF($B$5=0,"Sin datos",INDEX(O9:O14,$B$5))</f>
        <v>-3.8248175182481747E-2</v>
      </c>
      <c r="C27" s="3" t="s">
        <v>152</v>
      </c>
    </row>
    <row r="28" spans="1:3" x14ac:dyDescent="0.25">
      <c r="A28" s="15" t="s">
        <v>153</v>
      </c>
      <c r="B28" s="21" t="str">
        <f>IF($B$5=0,"Sin datos",IF(B22&gt;=1,"Bajo presupuesto","Sobre presupuesto"))</f>
        <v>Sobre presupuesto</v>
      </c>
    </row>
    <row r="29" spans="1:3" x14ac:dyDescent="0.25">
      <c r="A29" s="15" t="s">
        <v>154</v>
      </c>
      <c r="B29" s="21" t="str">
        <f>IF($B$5=0,"Sin datos",IF(B23&gt;=1,"Adelantado / a tiempo","Atrasado"))</f>
        <v>Atrasado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Supuestos</vt:lpstr>
      <vt:lpstr>Inversion</vt:lpstr>
      <vt:lpstr>Flujo de Caja</vt:lpstr>
      <vt:lpstr>Indicadores</vt:lpstr>
      <vt:lpstr>Valor Ganado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MATIAS ALEJANDRO MACHUCA CELEDON</cp:lastModifiedBy>
  <cp:revision>1</cp:revision>
  <dcterms:created xsi:type="dcterms:W3CDTF">2026-09-25T21:17:11Z</dcterms:created>
  <dcterms:modified xsi:type="dcterms:W3CDTF">2026-09-26T17:10:07Z</dcterms:modified>
  <dc:language>en-US</dc:language>
</cp:coreProperties>
</file>